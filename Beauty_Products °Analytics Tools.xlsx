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xr:revisionPtr revIDLastSave="0" documentId="8_{6C81F6F9-2D20-FB44-A4FA-C6977919D03C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Sales Data" sheetId="1" r:id="rId1"/>
    <sheet name="Summary &amp; Insights" sheetId="2" r:id="rId2"/>
    <sheet name="Charts" sheetId="3" r:id="rId3"/>
  </sheets>
  <calcPr calcId="191028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<sst xmlns="http://schemas.openxmlformats.org/spreadsheetml/2006/main" count="137" uniqueCount="79">
  <si>
    <t>BEAUTY PRODUCTS SALES ANALYSIS 2025–2026</t>
  </si>
  <si>
    <t>Product</t>
  </si>
  <si>
    <t>Buyers
2025</t>
  </si>
  <si>
    <t>Buyers
2026</t>
  </si>
  <si>
    <t>Items Sold
2025</t>
  </si>
  <si>
    <t>Items Sold
2026</t>
  </si>
  <si>
    <t>Returns
2025</t>
  </si>
  <si>
    <t>Returns
2026</t>
  </si>
  <si>
    <t>Unit Price
2025</t>
  </si>
  <si>
    <t>Unit Price
2026</t>
  </si>
  <si>
    <t>Total Sales
2025</t>
  </si>
  <si>
    <t>Total Sales
2026</t>
  </si>
  <si>
    <t>Net Revenue
2025</t>
  </si>
  <si>
    <t>Net Revenue
2026</t>
  </si>
  <si>
    <t>Loss
2025</t>
  </si>
  <si>
    <t>Loss
2026</t>
  </si>
  <si>
    <t>Net Profit
2025</t>
  </si>
  <si>
    <t>Net Profit
2026</t>
  </si>
  <si>
    <t>Date 2025</t>
  </si>
  <si>
    <t>Date 2026</t>
  </si>
  <si>
    <t>Lipstick</t>
  </si>
  <si>
    <t>05/05/2025</t>
  </si>
  <si>
    <t>05/05/2026</t>
  </si>
  <si>
    <t>Cetaphil Moisturizer</t>
  </si>
  <si>
    <t>Lip Balm</t>
  </si>
  <si>
    <t>06/05/2025</t>
  </si>
  <si>
    <t>06/05/2026</t>
  </si>
  <si>
    <t>Sunscreen</t>
  </si>
  <si>
    <t>Lip Liner</t>
  </si>
  <si>
    <t>Sebamed Body Wash</t>
  </si>
  <si>
    <t>07/05/2025</t>
  </si>
  <si>
    <t>07/05/2026</t>
  </si>
  <si>
    <t>Sebamed Lotion</t>
  </si>
  <si>
    <t>Cetaphil Lotion</t>
  </si>
  <si>
    <t>04/05/2025</t>
  </si>
  <si>
    <t>04/05/2026</t>
  </si>
  <si>
    <t>Shampoo</t>
  </si>
  <si>
    <t>TOTAL</t>
  </si>
  <si>
    <t>BEAUTY PRODUCTS — KEY INSIGHTS &amp; SUMMARY</t>
  </si>
  <si>
    <t>KEY PERFORMANCE INDICATORS (2025 vs 2026)</t>
  </si>
  <si>
    <t>Metric</t>
  </si>
  <si>
    <t>2025</t>
  </si>
  <si>
    <t>2026</t>
  </si>
  <si>
    <t>Change ($)</t>
  </si>
  <si>
    <t>Growth (%)</t>
  </si>
  <si>
    <t>Total Sales</t>
  </si>
  <si>
    <t>59.8%</t>
  </si>
  <si>
    <t>Net Revenue</t>
  </si>
  <si>
    <t>78.6%</t>
  </si>
  <si>
    <t>Net Profit</t>
  </si>
  <si>
    <t>700.0%</t>
  </si>
  <si>
    <t>Total Loss</t>
  </si>
  <si>
    <t>-42.2%</t>
  </si>
  <si>
    <t>PRODUCT PERFORMANCE ANALYSIS</t>
  </si>
  <si>
    <t>Best Year</t>
  </si>
  <si>
    <t>Status</t>
  </si>
  <si>
    <t>Profit 2025</t>
  </si>
  <si>
    <t>Profit 2026</t>
  </si>
  <si>
    <t>Trend</t>
  </si>
  <si>
    <t>✅ Growing</t>
  </si>
  <si>
    <t>↑</t>
  </si>
  <si>
    <t>🌟 Best Growth</t>
  </si>
  <si>
    <t>↑↑</t>
  </si>
  <si>
    <t>Equal</t>
  </si>
  <si>
    <t>➡ Stable</t>
  </si>
  <si>
    <t>→</t>
  </si>
  <si>
    <t>⚠ Loss Both</t>
  </si>
  <si>
    <t>—</t>
  </si>
  <si>
    <t>KEY FINDINGS &amp; BUSINESS INSIGHTS</t>
  </si>
  <si>
    <t>1. Cetaphil Moisturizer had the highest sales growth — from $1,520 to $7,600 (400% increase) making it the star product.</t>
  </si>
  <si>
    <t>2. Net Profit grew by 700% overall ($350 → $2,800), showing strong business improvement in 2026.</t>
  </si>
  <si>
    <t>3. Sebamed Lotion and Shampoo consistently made losses in both years due to high returns — review pricing strategy.</t>
  </si>
  <si>
    <t>4. Total losses reduced by 42.2% ($1,800 → $1,040) showing better inventory and return management in 2026.</t>
  </si>
  <si>
    <t>5. Cetaphil Moisturizer loss in 2025 was recovered in 2026, turning from -$760 to +$1,520 profit.</t>
  </si>
  <si>
    <t>6. Sunscreen, Lip Balm, and Cetaphil Lotion maintained stable sales — reliable steady performers.</t>
  </si>
  <si>
    <t>BEAUTY PRODUCTS — VISUAL ANALYSIS CHARTS</t>
  </si>
  <si>
    <t>Sales 2025</t>
  </si>
  <si>
    <t>Sales 2026</t>
  </si>
  <si>
    <t>Cetaphil Moist.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</si>
</sst>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;&quot;($&quot;#,##0\);\-"/>
    <numFmt numFmtId="165" formatCode="\$#,##0"/>
  </numFmts>
  <fonts count="11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9"/>
      <color rgb="FFFFFFFF"/>
      <name val="Arial"/>
      <charset val="1"/>
    </font>
    <font>
      <b/>
      <sz val="10"/>
      <color rgb="FF1A1A1A"/>
      <name val="Arial"/>
      <charset val="1"/>
    </font>
    <font>
      <sz val="10"/>
      <color rgb="FF1A1A1A"/>
      <name val="Arial"/>
      <charset val="1"/>
    </font>
    <font>
      <sz val="10"/>
      <color rgb="FF1F7340"/>
      <name val="Arial"/>
      <charset val="1"/>
    </font>
    <font>
      <sz val="10"/>
      <color rgb="FFC00000"/>
      <name val="Arial"/>
      <charset val="1"/>
    </font>
    <font>
      <b/>
      <sz val="10"/>
      <color rgb="FFFFFFFF"/>
      <name val="Arial"/>
      <charset val="1"/>
    </font>
    <font>
      <b/>
      <sz val="11"/>
      <color rgb="FFFFFFFF"/>
      <name val="Arial"/>
      <charset val="1"/>
    </font>
    <font>
      <b/>
      <sz val="10"/>
      <color rgb="FF1F7340"/>
      <name val="Arial"/>
      <charset val="1"/>
    </font>
    <font>
      <b/>
      <sz val="10"/>
      <color rgb="FFC00000"/>
      <name val="Arial"/>
      <charset val="1"/>
    </font>
  </fonts>
  <fills count="10">
    <fill>
      <patternFill patternType="none"/>
    </fill>
    <fill>
      <patternFill patternType="gray125"/>
    </fill>
    <fill>
      <patternFill patternType="solid">
        <fgColor rgb="FF1A3A5C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FFFFFF"/>
        <bgColor rgb="FFF9F9F9"/>
      </patternFill>
    </fill>
    <fill>
      <patternFill patternType="solid">
        <fgColor rgb="FFE2EFDA"/>
        <bgColor rgb="FFEBF2FA"/>
      </patternFill>
    </fill>
    <fill>
      <patternFill patternType="solid">
        <fgColor rgb="FFEBF2FA"/>
        <bgColor rgb="FFF9F9F9"/>
      </patternFill>
    </fill>
    <fill>
      <patternFill patternType="solid">
        <fgColor rgb="FFFCE4D6"/>
        <bgColor rgb="FFFFF2CC"/>
      </patternFill>
    </fill>
    <fill>
      <patternFill patternType="solid">
        <fgColor rgb="FFBDD7EE"/>
        <bgColor rgb="FFCCCCCC"/>
      </patternFill>
    </fill>
    <fill>
      <patternFill patternType="solid">
        <fgColor rgb="FFFFF2CC"/>
        <bgColor rgb="FFFCE4D6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4" fillId="4" borderId="0" xfId="0" applyFont="1" applyFill="1" applyBorder="1" applyAlignment="1">
      <alignment horizontal="left" vertical="center" wrapText="1"/>
    </xf>
    <xf numFmtId="0" fontId="4" fillId="6" borderId="0" xfId="0" applyFont="1" applyFill="1" applyBorder="1" applyAlignment="1">
      <alignment horizontal="left" vertical="center" wrapText="1"/>
    </xf>
    <xf numFmtId="0" fontId="8" fillId="3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center" vertical="center"/>
    </xf>
    <xf numFmtId="164" fontId="5" fillId="5" borderId="1" xfId="0" applyNumberFormat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center" vertical="center"/>
    </xf>
    <xf numFmtId="164" fontId="4" fillId="6" borderId="1" xfId="0" applyNumberFormat="1" applyFont="1" applyFill="1" applyBorder="1" applyAlignment="1">
      <alignment horizontal="center" vertical="center"/>
    </xf>
    <xf numFmtId="164" fontId="6" fillId="7" borderId="1" xfId="0" applyNumberFormat="1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164" fontId="3" fillId="8" borderId="1" xfId="0" applyNumberFormat="1" applyFont="1" applyFill="1" applyBorder="1" applyAlignment="1">
      <alignment horizontal="center" vertical="center"/>
    </xf>
    <xf numFmtId="165" fontId="4" fillId="4" borderId="1" xfId="0" applyNumberFormat="1" applyFont="1" applyFill="1" applyBorder="1" applyAlignment="1">
      <alignment horizontal="center" vertical="center"/>
    </xf>
    <xf numFmtId="164" fontId="9" fillId="5" borderId="1" xfId="0" applyNumberFormat="1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164" fontId="10" fillId="7" borderId="1" xfId="0" applyNumberFormat="1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165" fontId="4" fillId="6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164" fontId="4" fillId="5" borderId="1" xfId="0" applyNumberFormat="1" applyFont="1" applyFill="1" applyBorder="1" applyAlignment="1">
      <alignment horizontal="center" vertical="center"/>
    </xf>
    <xf numFmtId="164" fontId="4" fillId="7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1F7340"/>
      <rgbColor rgb="FF000080"/>
      <rgbColor rgb="FF808000"/>
      <rgbColor rgb="FF800080"/>
      <rgbColor rgb="FF008080"/>
      <rgbColor rgb="FFCCCCCC"/>
      <rgbColor rgb="FF878787"/>
      <rgbColor rgb="FF9999FF"/>
      <rgbColor rgb="FF993366"/>
      <rgbColor rgb="FFFFF2CC"/>
      <rgbColor rgb="FFEBF2FA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9F9"/>
      <rgbColor rgb="FFE2EFDA"/>
      <rgbColor rgb="FFFFFF99"/>
      <rgbColor rgb="FFD9D9D9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A3A5C"/>
      <rgbColor rgb="FF339966"/>
      <rgbColor rgb="FF003300"/>
      <rgbColor rgb="FF333300"/>
      <rgbColor rgb="FF993300"/>
      <rgbColor rgb="FF993366"/>
      <rgbColor rgb="FF33339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Total Sales by Product: 2025 vs 2026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Charts!B3</c:f>
              <c:strCache>
                <c:ptCount val="1"/>
                <c:pt idx="0">
                  <c:v>Sales 2025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Charts!$A$4:$A$12</c:f>
              <c:strCache>
                <c:ptCount val="9"/>
                <c:pt idx="0">
                  <c:v>Lipstick</c:v>
                </c:pt>
                <c:pt idx="1">
                  <c:v>Cetaphil Moist.</c:v>
                </c:pt>
                <c:pt idx="2">
                  <c:v>Lip Balm</c:v>
                </c:pt>
                <c:pt idx="3">
                  <c:v>Sunscreen</c:v>
                </c:pt>
                <c:pt idx="4">
                  <c:v>Lip Liner</c:v>
                </c:pt>
                <c:pt idx="5">
                  <c:v>Sebamed Body Wash</c:v>
                </c:pt>
                <c:pt idx="6">
                  <c:v>Sebamed Lotion</c:v>
                </c:pt>
                <c:pt idx="7">
                  <c:v>Cetaphil Lotion</c:v>
                </c:pt>
                <c:pt idx="8">
                  <c:v>Shampoo</c:v>
                </c:pt>
              </c:strCache>
            </c:strRef>
          </c:cat>
          <c:val>
            <c:numRef>
              <c:f>Charts!$B$4:$B$12</c:f>
              <c:numCache>
                <c:formatCode>\$#,##0</c:formatCode>
                <c:ptCount val="9"/>
                <c:pt idx="0">
                  <c:v>100</c:v>
                </c:pt>
                <c:pt idx="1">
                  <c:v>1520</c:v>
                </c:pt>
                <c:pt idx="2">
                  <c:v>200</c:v>
                </c:pt>
                <c:pt idx="3">
                  <c:v>1200</c:v>
                </c:pt>
                <c:pt idx="4">
                  <c:v>500</c:v>
                </c:pt>
                <c:pt idx="5">
                  <c:v>1080</c:v>
                </c:pt>
                <c:pt idx="6">
                  <c:v>1620</c:v>
                </c:pt>
                <c:pt idx="7">
                  <c:v>1120</c:v>
                </c:pt>
                <c:pt idx="8">
                  <c:v>3500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A0-9D4F-AB34-63D092C170D1}"/>
            </c:ext>
          </c:extLst>
        </c:ser>
        <c:ser>
          <c:idx val="1"/>
          <c:order val="1"/>
          <c:tx>
            <c:strRef>
              <c:f>Charts!C3</c:f>
              <c:strCache>
                <c:ptCount val="1"/>
                <c:pt idx="0">
                  <c:v>Sales 2026</c:v>
                </c:pt>
              </c:strCache>
            </c:strRef>
          </c:tx>
          <c:spPr>
            <a:solidFill>
              <a:srgbClr val="1F734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Charts!$A$4:$A$12</c:f>
              <c:strCache>
                <c:ptCount val="9"/>
                <c:pt idx="0">
                  <c:v>Lipstick</c:v>
                </c:pt>
                <c:pt idx="1">
                  <c:v>Cetaphil Moist.</c:v>
                </c:pt>
                <c:pt idx="2">
                  <c:v>Lip Balm</c:v>
                </c:pt>
                <c:pt idx="3">
                  <c:v>Sunscreen</c:v>
                </c:pt>
                <c:pt idx="4">
                  <c:v>Lip Liner</c:v>
                </c:pt>
                <c:pt idx="5">
                  <c:v>Sebamed Body Wash</c:v>
                </c:pt>
                <c:pt idx="6">
                  <c:v>Sebamed Lotion</c:v>
                </c:pt>
                <c:pt idx="7">
                  <c:v>Cetaphil Lotion</c:v>
                </c:pt>
                <c:pt idx="8">
                  <c:v>Shampoo</c:v>
                </c:pt>
              </c:strCache>
            </c:strRef>
          </c:cat>
          <c:val>
            <c:numRef>
              <c:f>Charts!$C$4:$C$12</c:f>
              <c:numCache>
                <c:formatCode>\$#,##0</c:formatCode>
                <c:ptCount val="9"/>
                <c:pt idx="0">
                  <c:v>300</c:v>
                </c:pt>
                <c:pt idx="1">
                  <c:v>7600</c:v>
                </c:pt>
                <c:pt idx="2">
                  <c:v>200</c:v>
                </c:pt>
                <c:pt idx="3">
                  <c:v>1200</c:v>
                </c:pt>
                <c:pt idx="4">
                  <c:v>700</c:v>
                </c:pt>
                <c:pt idx="5">
                  <c:v>1080</c:v>
                </c:pt>
                <c:pt idx="6">
                  <c:v>1620</c:v>
                </c:pt>
                <c:pt idx="7">
                  <c:v>1120</c:v>
                </c:pt>
                <c:pt idx="8">
                  <c:v>3500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6A0-9D4F-AB34-63D092C170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68778"/>
        <c:axId val="63578817"/>
      </c:barChart>
      <c:catAx>
        <c:axId val="206877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Product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3578817"/>
        <c:crosses val="autoZero"/>
        <c:auto val="1"/>
        <c:lblAlgn val="ctr"/>
        <c:lblOffset val="100"/>
        <c:noMultiLvlLbl val="0"/>
      </c:catAx>
      <c:valAx>
        <c:axId val="6357881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Sales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06877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Net Profit by Product: 2025 vs 2026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Charts!D3</c:f>
              <c:strCache>
                <c:ptCount val="1"/>
                <c:pt idx="0">
                  <c:v>Profit 2025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Charts!$A$4:$A$12</c:f>
              <c:strCache>
                <c:ptCount val="9"/>
                <c:pt idx="0">
                  <c:v>Lipstick</c:v>
                </c:pt>
                <c:pt idx="1">
                  <c:v>Cetaphil Moist.</c:v>
                </c:pt>
                <c:pt idx="2">
                  <c:v>Lip Balm</c:v>
                </c:pt>
                <c:pt idx="3">
                  <c:v>Sunscreen</c:v>
                </c:pt>
                <c:pt idx="4">
                  <c:v>Lip Liner</c:v>
                </c:pt>
                <c:pt idx="5">
                  <c:v>Sebamed Body Wash</c:v>
                </c:pt>
                <c:pt idx="6">
                  <c:v>Sebamed Lotion</c:v>
                </c:pt>
                <c:pt idx="7">
                  <c:v>Cetaphil Lotion</c:v>
                </c:pt>
                <c:pt idx="8">
                  <c:v>Shampoo</c:v>
                </c:pt>
              </c:strCache>
            </c:strRef>
          </c:cat>
          <c:val>
            <c:numRef>
              <c:f>Charts!$D$4:$D$12</c:f>
              <c:numCache>
                <c:formatCode>\$#,##0;"($"#,##0\);\-</c:formatCode>
                <c:ptCount val="9"/>
                <c:pt idx="0">
                  <c:v>100</c:v>
                </c:pt>
                <c:pt idx="1">
                  <c:v>-760</c:v>
                </c:pt>
                <c:pt idx="2">
                  <c:v>100</c:v>
                </c:pt>
                <c:pt idx="3">
                  <c:v>600</c:v>
                </c:pt>
                <c:pt idx="4">
                  <c:v>250</c:v>
                </c:pt>
                <c:pt idx="5">
                  <c:v>540</c:v>
                </c:pt>
                <c:pt idx="6">
                  <c:v>-540</c:v>
                </c:pt>
                <c:pt idx="7">
                  <c:v>560</c:v>
                </c:pt>
                <c:pt idx="8">
                  <c:v>-500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BD-4B45-B155-2FFBAEB7EAB9}"/>
            </c:ext>
          </c:extLst>
        </c:ser>
        <c:ser>
          <c:idx val="1"/>
          <c:order val="1"/>
          <c:tx>
            <c:strRef>
              <c:f>Charts!E3</c:f>
              <c:strCache>
                <c:ptCount val="1"/>
                <c:pt idx="0">
                  <c:v>Profit 2026</c:v>
                </c:pt>
              </c:strCache>
            </c:strRef>
          </c:tx>
          <c:spPr>
            <a:solidFill>
              <a:srgbClr val="1F734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Charts!$A$4:$A$12</c:f>
              <c:strCache>
                <c:ptCount val="9"/>
                <c:pt idx="0">
                  <c:v>Lipstick</c:v>
                </c:pt>
                <c:pt idx="1">
                  <c:v>Cetaphil Moist.</c:v>
                </c:pt>
                <c:pt idx="2">
                  <c:v>Lip Balm</c:v>
                </c:pt>
                <c:pt idx="3">
                  <c:v>Sunscreen</c:v>
                </c:pt>
                <c:pt idx="4">
                  <c:v>Lip Liner</c:v>
                </c:pt>
                <c:pt idx="5">
                  <c:v>Sebamed Body Wash</c:v>
                </c:pt>
                <c:pt idx="6">
                  <c:v>Sebamed Lotion</c:v>
                </c:pt>
                <c:pt idx="7">
                  <c:v>Cetaphil Lotion</c:v>
                </c:pt>
                <c:pt idx="8">
                  <c:v>Shampoo</c:v>
                </c:pt>
              </c:strCache>
            </c:strRef>
          </c:cat>
          <c:val>
            <c:numRef>
              <c:f>Charts!$E$4:$E$12</c:f>
              <c:numCache>
                <c:formatCode>\$#,##0;"($"#,##0\);\-</c:formatCode>
                <c:ptCount val="9"/>
                <c:pt idx="0">
                  <c:v>150</c:v>
                </c:pt>
                <c:pt idx="1">
                  <c:v>1520</c:v>
                </c:pt>
                <c:pt idx="2">
                  <c:v>100</c:v>
                </c:pt>
                <c:pt idx="3">
                  <c:v>600</c:v>
                </c:pt>
                <c:pt idx="4">
                  <c:v>350</c:v>
                </c:pt>
                <c:pt idx="5">
                  <c:v>560</c:v>
                </c:pt>
                <c:pt idx="6">
                  <c:v>-540</c:v>
                </c:pt>
                <c:pt idx="7">
                  <c:v>560</c:v>
                </c:pt>
                <c:pt idx="8">
                  <c:v>-500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CBD-4B45-B155-2FFBAEB7EA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62218"/>
        <c:axId val="45142809"/>
      </c:barChart>
      <c:catAx>
        <c:axId val="226221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Product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5142809"/>
        <c:crosses val="autoZero"/>
        <c:auto val="1"/>
        <c:lblAlgn val="ctr"/>
        <c:lblOffset val="100"/>
        <c:noMultiLvlLbl val="0"/>
      </c:catAx>
      <c:valAx>
        <c:axId val="4514280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Profit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;&quot;($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26221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Year-over-Year KPI Comparison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Charts!H3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rgbClr val="1A3A5C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Charts!$G$4:$G$7</c:f>
              <c:strCache>
                <c:ptCount val="4"/>
                <c:pt idx="0">
                  <c:v>Total Sales</c:v>
                </c:pt>
                <c:pt idx="1">
                  <c:v>Net Revenue</c:v>
                </c:pt>
                <c:pt idx="2">
                  <c:v>Net Profit</c:v>
                </c:pt>
                <c:pt idx="3">
                  <c:v>Total Loss</c:v>
                </c:pt>
              </c:strCache>
            </c:strRef>
          </c:cat>
          <c:val>
            <c:numRef>
              <c:f>Charts!$H$4:$H$7</c:f>
              <c:numCache>
                <c:formatCode>\$#,##0</c:formatCode>
                <c:ptCount val="4"/>
                <c:pt idx="0">
                  <c:v>10840</c:v>
                </c:pt>
                <c:pt idx="1">
                  <c:v>2150</c:v>
                </c:pt>
                <c:pt idx="2">
                  <c:v>350</c:v>
                </c:pt>
                <c:pt idx="3">
                  <c:v>1800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98-6A46-9B00-28C59FECE7C0}"/>
            </c:ext>
          </c:extLst>
        </c:ser>
        <c:ser>
          <c:idx val="1"/>
          <c:order val="1"/>
          <c:tx>
            <c:strRef>
              <c:f>Charts!I3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Charts!$G$4:$G$7</c:f>
              <c:strCache>
                <c:ptCount val="4"/>
                <c:pt idx="0">
                  <c:v>Total Sales</c:v>
                </c:pt>
                <c:pt idx="1">
                  <c:v>Net Revenue</c:v>
                </c:pt>
                <c:pt idx="2">
                  <c:v>Net Profit</c:v>
                </c:pt>
                <c:pt idx="3">
                  <c:v>Total Loss</c:v>
                </c:pt>
              </c:strCache>
            </c:strRef>
          </c:cat>
          <c:val>
            <c:numRef>
              <c:f>Charts!$I$4:$I$7</c:f>
              <c:numCache>
                <c:formatCode>\$#,##0</c:formatCode>
                <c:ptCount val="4"/>
                <c:pt idx="0">
                  <c:v>17320</c:v>
                </c:pt>
                <c:pt idx="1">
                  <c:v>3840</c:v>
                </c:pt>
                <c:pt idx="2">
                  <c:v>2800</c:v>
                </c:pt>
                <c:pt idx="3">
                  <c:v>1040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C98-6A46-9B00-28C59FECE7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130353"/>
        <c:axId val="94247619"/>
      </c:barChart>
      <c:catAx>
        <c:axId val="4113035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4247619"/>
        <c:crosses val="autoZero"/>
        <c:auto val="1"/>
        <c:lblAlgn val="ctr"/>
        <c:lblOffset val="100"/>
        <c:noMultiLvlLbl val="0"/>
      </c:catAx>
      <c:valAx>
        <c:axId val="9424761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Amount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113035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 /><Relationship Id="rId2" Type="http://schemas.openxmlformats.org/officeDocument/2006/relationships/chart" Target="../charts/chart2.xml" /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</xdr:row>
      <xdr:rowOff>0</xdr:rowOff>
    </xdr:from>
    <xdr:to>
      <xdr:col>7</xdr:col>
      <xdr:colOff>448200</xdr:colOff>
      <xdr:row>39</xdr:row>
      <xdr:rowOff>86760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13</xdr:row>
      <xdr:rowOff>0</xdr:rowOff>
    </xdr:from>
    <xdr:to>
      <xdr:col>22</xdr:col>
      <xdr:colOff>581760</xdr:colOff>
      <xdr:row>39</xdr:row>
      <xdr:rowOff>86760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10</xdr:col>
      <xdr:colOff>0</xdr:colOff>
      <xdr:row>2</xdr:row>
      <xdr:rowOff>0</xdr:rowOff>
    </xdr:from>
    <xdr:to>
      <xdr:col>20</xdr:col>
      <xdr:colOff>364680</xdr:colOff>
      <xdr:row>24</xdr:row>
      <xdr:rowOff>128520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2"/>
  <sheetViews>
    <sheetView showGridLines="0" tabSelected="1" topLeftCell="M1" zoomScaleNormal="100" workbookViewId="0">
      <pane ySplit="2" topLeftCell="M3" activePane="bottomLeft" state="frozen"/>
      <selection pane="bottomLeft"/>
    </sheetView>
  </sheetViews>
  <sheetFormatPr defaultColWidth="8.7421875" defaultRowHeight="15" x14ac:dyDescent="0.2"/>
  <cols>
    <col min="1" max="1" width="22.05859375" customWidth="1"/>
    <col min="2" max="3" width="9.01171875" customWidth="1"/>
    <col min="4" max="5" width="9.953125" customWidth="1"/>
    <col min="6" max="7" width="9.01171875" customWidth="1"/>
    <col min="8" max="9" width="11.02734375" customWidth="1"/>
    <col min="10" max="11" width="13.046875" customWidth="1"/>
    <col min="12" max="13" width="13.98828125" customWidth="1"/>
    <col min="14" max="15" width="11.02734375" customWidth="1"/>
    <col min="16" max="19" width="13.046875" customWidth="1"/>
  </cols>
  <sheetData>
    <row r="1" spans="1:19" ht="36" customHeight="1" x14ac:dyDescent="0.2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</row>
    <row r="2" spans="1:19" ht="31.5" customHeight="1" x14ac:dyDescent="0.2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18</v>
      </c>
      <c r="S2" s="5" t="s">
        <v>19</v>
      </c>
    </row>
    <row r="3" spans="1:19" x14ac:dyDescent="0.2">
      <c r="A3" s="6" t="s">
        <v>20</v>
      </c>
      <c r="B3" s="7">
        <v>1</v>
      </c>
      <c r="C3" s="7">
        <v>2</v>
      </c>
      <c r="D3" s="7">
        <v>1</v>
      </c>
      <c r="E3" s="7">
        <v>2</v>
      </c>
      <c r="F3" s="7">
        <v>0</v>
      </c>
      <c r="G3" s="7">
        <v>0</v>
      </c>
      <c r="H3" s="8">
        <v>100</v>
      </c>
      <c r="I3" s="8">
        <v>150</v>
      </c>
      <c r="J3" s="8">
        <v>100</v>
      </c>
      <c r="K3" s="8">
        <v>300</v>
      </c>
      <c r="L3" s="8">
        <v>100</v>
      </c>
      <c r="M3" s="8">
        <v>150</v>
      </c>
      <c r="N3" s="8">
        <v>0</v>
      </c>
      <c r="O3" s="8">
        <v>0</v>
      </c>
      <c r="P3" s="9">
        <v>100</v>
      </c>
      <c r="Q3" s="9">
        <v>150</v>
      </c>
      <c r="R3" s="7" t="s">
        <v>21</v>
      </c>
      <c r="S3" s="7" t="s">
        <v>22</v>
      </c>
    </row>
    <row r="4" spans="1:19" x14ac:dyDescent="0.2">
      <c r="A4" s="10" t="s">
        <v>23</v>
      </c>
      <c r="B4" s="11">
        <v>3</v>
      </c>
      <c r="C4" s="11">
        <v>3</v>
      </c>
      <c r="D4" s="11">
        <v>5</v>
      </c>
      <c r="E4" s="11">
        <v>10</v>
      </c>
      <c r="F4" s="11">
        <v>1</v>
      </c>
      <c r="G4" s="11">
        <v>1</v>
      </c>
      <c r="H4" s="12">
        <v>760</v>
      </c>
      <c r="I4" s="12">
        <v>760</v>
      </c>
      <c r="J4" s="12">
        <v>1520</v>
      </c>
      <c r="K4" s="12">
        <v>7600</v>
      </c>
      <c r="L4" s="12">
        <v>0</v>
      </c>
      <c r="M4" s="12">
        <v>1520</v>
      </c>
      <c r="N4" s="13">
        <v>760</v>
      </c>
      <c r="O4" s="12">
        <v>0</v>
      </c>
      <c r="P4" s="13">
        <v>-760</v>
      </c>
      <c r="Q4" s="9">
        <v>1520</v>
      </c>
      <c r="R4" s="11" t="s">
        <v>21</v>
      </c>
      <c r="S4" s="11" t="s">
        <v>22</v>
      </c>
    </row>
    <row r="5" spans="1:19" x14ac:dyDescent="0.2">
      <c r="A5" s="6" t="s">
        <v>24</v>
      </c>
      <c r="B5" s="7">
        <v>2</v>
      </c>
      <c r="C5" s="7">
        <v>2</v>
      </c>
      <c r="D5" s="7">
        <v>2</v>
      </c>
      <c r="E5" s="7">
        <v>2</v>
      </c>
      <c r="F5" s="7">
        <v>0</v>
      </c>
      <c r="G5" s="7">
        <v>1</v>
      </c>
      <c r="H5" s="8">
        <v>100</v>
      </c>
      <c r="I5" s="8">
        <v>100</v>
      </c>
      <c r="J5" s="8">
        <v>200</v>
      </c>
      <c r="K5" s="8">
        <v>200</v>
      </c>
      <c r="L5" s="8">
        <v>100</v>
      </c>
      <c r="M5" s="8">
        <v>100</v>
      </c>
      <c r="N5" s="8">
        <v>0</v>
      </c>
      <c r="O5" s="8">
        <v>0</v>
      </c>
      <c r="P5" s="9">
        <v>100</v>
      </c>
      <c r="Q5" s="9">
        <v>100</v>
      </c>
      <c r="R5" s="7" t="s">
        <v>25</v>
      </c>
      <c r="S5" s="7" t="s">
        <v>26</v>
      </c>
    </row>
    <row r="6" spans="1:19" x14ac:dyDescent="0.2">
      <c r="A6" s="10" t="s">
        <v>27</v>
      </c>
      <c r="B6" s="11">
        <v>2</v>
      </c>
      <c r="C6" s="11">
        <v>3</v>
      </c>
      <c r="D6" s="11">
        <v>2</v>
      </c>
      <c r="E6" s="11">
        <v>2</v>
      </c>
      <c r="F6" s="11">
        <v>0</v>
      </c>
      <c r="G6" s="11">
        <v>0</v>
      </c>
      <c r="H6" s="12">
        <v>600</v>
      </c>
      <c r="I6" s="12">
        <v>600</v>
      </c>
      <c r="J6" s="12">
        <v>1200</v>
      </c>
      <c r="K6" s="12">
        <v>1200</v>
      </c>
      <c r="L6" s="12">
        <v>600</v>
      </c>
      <c r="M6" s="12">
        <v>600</v>
      </c>
      <c r="N6" s="12">
        <v>0</v>
      </c>
      <c r="O6" s="12">
        <v>0</v>
      </c>
      <c r="P6" s="9">
        <v>600</v>
      </c>
      <c r="Q6" s="9">
        <v>600</v>
      </c>
      <c r="R6" s="11" t="s">
        <v>25</v>
      </c>
      <c r="S6" s="11" t="s">
        <v>26</v>
      </c>
    </row>
    <row r="7" spans="1:19" x14ac:dyDescent="0.2">
      <c r="A7" s="6" t="s">
        <v>28</v>
      </c>
      <c r="B7" s="7">
        <v>2</v>
      </c>
      <c r="C7" s="7">
        <v>2</v>
      </c>
      <c r="D7" s="7">
        <v>2</v>
      </c>
      <c r="E7" s="7">
        <v>2</v>
      </c>
      <c r="F7" s="7">
        <v>0</v>
      </c>
      <c r="G7" s="7">
        <v>0</v>
      </c>
      <c r="H7" s="8">
        <v>250</v>
      </c>
      <c r="I7" s="8">
        <v>350</v>
      </c>
      <c r="J7" s="8">
        <v>500</v>
      </c>
      <c r="K7" s="8">
        <v>700</v>
      </c>
      <c r="L7" s="8">
        <v>250</v>
      </c>
      <c r="M7" s="8">
        <v>350</v>
      </c>
      <c r="N7" s="8">
        <v>0</v>
      </c>
      <c r="O7" s="8">
        <v>0</v>
      </c>
      <c r="P7" s="9">
        <v>250</v>
      </c>
      <c r="Q7" s="9">
        <v>350</v>
      </c>
      <c r="R7" s="7" t="s">
        <v>25</v>
      </c>
      <c r="S7" s="7" t="s">
        <v>26</v>
      </c>
    </row>
    <row r="8" spans="1:19" x14ac:dyDescent="0.2">
      <c r="A8" s="10" t="s">
        <v>29</v>
      </c>
      <c r="B8" s="11">
        <v>4</v>
      </c>
      <c r="C8" s="11">
        <v>4</v>
      </c>
      <c r="D8" s="11">
        <v>2</v>
      </c>
      <c r="E8" s="11">
        <v>2</v>
      </c>
      <c r="F8" s="11">
        <v>0</v>
      </c>
      <c r="G8" s="11">
        <v>0</v>
      </c>
      <c r="H8" s="12">
        <v>540</v>
      </c>
      <c r="I8" s="12">
        <v>540</v>
      </c>
      <c r="J8" s="12">
        <v>1080</v>
      </c>
      <c r="K8" s="12">
        <v>1080</v>
      </c>
      <c r="L8" s="12">
        <v>540</v>
      </c>
      <c r="M8" s="12">
        <v>560</v>
      </c>
      <c r="N8" s="12">
        <v>0</v>
      </c>
      <c r="O8" s="12">
        <v>0</v>
      </c>
      <c r="P8" s="9">
        <v>540</v>
      </c>
      <c r="Q8" s="9">
        <v>560</v>
      </c>
      <c r="R8" s="11" t="s">
        <v>30</v>
      </c>
      <c r="S8" s="11" t="s">
        <v>31</v>
      </c>
    </row>
    <row r="9" spans="1:19" x14ac:dyDescent="0.2">
      <c r="A9" s="6" t="s">
        <v>32</v>
      </c>
      <c r="B9" s="7">
        <v>4</v>
      </c>
      <c r="C9" s="7">
        <v>4</v>
      </c>
      <c r="D9" s="7">
        <v>3</v>
      </c>
      <c r="E9" s="7">
        <v>3</v>
      </c>
      <c r="F9" s="7">
        <v>1</v>
      </c>
      <c r="G9" s="7">
        <v>1</v>
      </c>
      <c r="H9" s="8">
        <v>540</v>
      </c>
      <c r="I9" s="8">
        <v>540</v>
      </c>
      <c r="J9" s="8">
        <v>1620</v>
      </c>
      <c r="K9" s="8">
        <v>1620</v>
      </c>
      <c r="L9" s="8">
        <v>0</v>
      </c>
      <c r="M9" s="8">
        <v>0</v>
      </c>
      <c r="N9" s="13">
        <v>540</v>
      </c>
      <c r="O9" s="13">
        <v>540</v>
      </c>
      <c r="P9" s="13">
        <v>-540</v>
      </c>
      <c r="Q9" s="13">
        <v>-540</v>
      </c>
      <c r="R9" s="7" t="s">
        <v>30</v>
      </c>
      <c r="S9" s="7" t="s">
        <v>31</v>
      </c>
    </row>
    <row r="10" spans="1:19" x14ac:dyDescent="0.2">
      <c r="A10" s="10" t="s">
        <v>33</v>
      </c>
      <c r="B10" s="11">
        <v>5</v>
      </c>
      <c r="C10" s="11">
        <v>5</v>
      </c>
      <c r="D10" s="11">
        <v>2</v>
      </c>
      <c r="E10" s="11">
        <v>2</v>
      </c>
      <c r="F10" s="11">
        <v>0</v>
      </c>
      <c r="G10" s="11">
        <v>0</v>
      </c>
      <c r="H10" s="12">
        <v>560</v>
      </c>
      <c r="I10" s="12">
        <v>560</v>
      </c>
      <c r="J10" s="12">
        <v>1120</v>
      </c>
      <c r="K10" s="12">
        <v>1120</v>
      </c>
      <c r="L10" s="12">
        <v>560</v>
      </c>
      <c r="M10" s="12">
        <v>560</v>
      </c>
      <c r="N10" s="12">
        <v>0</v>
      </c>
      <c r="O10" s="12">
        <v>0</v>
      </c>
      <c r="P10" s="9">
        <v>560</v>
      </c>
      <c r="Q10" s="9">
        <v>560</v>
      </c>
      <c r="R10" s="11" t="s">
        <v>34</v>
      </c>
      <c r="S10" s="11" t="s">
        <v>35</v>
      </c>
    </row>
    <row r="11" spans="1:19" x14ac:dyDescent="0.2">
      <c r="A11" s="6" t="s">
        <v>36</v>
      </c>
      <c r="B11" s="7">
        <v>6</v>
      </c>
      <c r="C11" s="7">
        <v>6</v>
      </c>
      <c r="D11" s="7">
        <v>2</v>
      </c>
      <c r="E11" s="7">
        <v>2</v>
      </c>
      <c r="F11" s="7">
        <v>1</v>
      </c>
      <c r="G11" s="7">
        <v>1</v>
      </c>
      <c r="H11" s="8">
        <v>500</v>
      </c>
      <c r="I11" s="8">
        <v>500</v>
      </c>
      <c r="J11" s="8">
        <v>3500</v>
      </c>
      <c r="K11" s="8">
        <v>3500</v>
      </c>
      <c r="L11" s="8">
        <v>0</v>
      </c>
      <c r="M11" s="8">
        <v>0</v>
      </c>
      <c r="N11" s="13">
        <v>500</v>
      </c>
      <c r="O11" s="13">
        <v>500</v>
      </c>
      <c r="P11" s="13">
        <v>-500</v>
      </c>
      <c r="Q11" s="13">
        <v>-500</v>
      </c>
      <c r="R11" s="7" t="s">
        <v>34</v>
      </c>
      <c r="S11" s="7" t="s">
        <v>35</v>
      </c>
    </row>
    <row r="12" spans="1:19" x14ac:dyDescent="0.2">
      <c r="A12" s="14" t="s">
        <v>37</v>
      </c>
      <c r="B12" s="15">
        <v>29</v>
      </c>
      <c r="C12" s="15">
        <v>31</v>
      </c>
      <c r="D12" s="15">
        <v>21</v>
      </c>
      <c r="E12" s="15">
        <v>27</v>
      </c>
      <c r="F12" s="15">
        <v>3</v>
      </c>
      <c r="G12" s="15">
        <v>4</v>
      </c>
      <c r="H12" s="16"/>
      <c r="I12" s="16"/>
      <c r="J12" s="17">
        <v>10840</v>
      </c>
      <c r="K12" s="17">
        <v>17320</v>
      </c>
      <c r="L12" s="17">
        <v>2150</v>
      </c>
      <c r="M12" s="17">
        <v>3840</v>
      </c>
      <c r="N12" s="17">
        <v>1800</v>
      </c>
      <c r="O12" s="17">
        <v>1040</v>
      </c>
      <c r="P12" s="17">
        <v>350</v>
      </c>
      <c r="Q12" s="17">
        <v>2800</v>
      </c>
      <c r="R12" s="16"/>
      <c r="S12" s="16"/>
    </row>
  </sheetData>
  <mergeCells count="1">
    <mergeCell ref="A1:S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9"/>
  <sheetViews>
    <sheetView showGridLines="0" zoomScaleNormal="100" workbookViewId="0"/>
  </sheetViews>
  <sheetFormatPr defaultColWidth="8.7421875" defaultRowHeight="15" x14ac:dyDescent="0.2"/>
  <cols>
    <col min="1" max="1" width="25.9609375" customWidth="1"/>
    <col min="2" max="8" width="13.98828125" customWidth="1"/>
  </cols>
  <sheetData>
    <row r="1" spans="1:8" ht="36" customHeight="1" x14ac:dyDescent="0.2">
      <c r="A1" s="4" t="s">
        <v>38</v>
      </c>
      <c r="B1" s="4"/>
      <c r="C1" s="4"/>
      <c r="D1" s="4"/>
      <c r="E1" s="4"/>
      <c r="F1" s="4"/>
      <c r="G1" s="4"/>
      <c r="H1" s="4"/>
    </row>
    <row r="3" spans="1:8" x14ac:dyDescent="0.2">
      <c r="A3" s="3" t="s">
        <v>39</v>
      </c>
      <c r="B3" s="3"/>
    </row>
    <row r="4" spans="1:8" x14ac:dyDescent="0.2">
      <c r="A4" s="14" t="s">
        <v>40</v>
      </c>
      <c r="B4" s="14" t="s">
        <v>41</v>
      </c>
      <c r="C4" s="14" t="s">
        <v>42</v>
      </c>
      <c r="D4" s="14" t="s">
        <v>43</v>
      </c>
      <c r="E4" s="14" t="s">
        <v>44</v>
      </c>
    </row>
    <row r="5" spans="1:8" x14ac:dyDescent="0.2">
      <c r="A5" s="6" t="s">
        <v>45</v>
      </c>
      <c r="B5" s="18">
        <v>10840</v>
      </c>
      <c r="C5" s="18">
        <v>17320</v>
      </c>
      <c r="D5" s="19">
        <v>6480</v>
      </c>
      <c r="E5" s="20" t="s">
        <v>46</v>
      </c>
    </row>
    <row r="6" spans="1:8" x14ac:dyDescent="0.2">
      <c r="A6" s="6" t="s">
        <v>47</v>
      </c>
      <c r="B6" s="18">
        <v>2150</v>
      </c>
      <c r="C6" s="18">
        <v>3840</v>
      </c>
      <c r="D6" s="19">
        <v>1690</v>
      </c>
      <c r="E6" s="20" t="s">
        <v>48</v>
      </c>
    </row>
    <row r="7" spans="1:8" x14ac:dyDescent="0.2">
      <c r="A7" s="6" t="s">
        <v>49</v>
      </c>
      <c r="B7" s="18">
        <v>350</v>
      </c>
      <c r="C7" s="18">
        <v>2800</v>
      </c>
      <c r="D7" s="19">
        <v>2450</v>
      </c>
      <c r="E7" s="20" t="s">
        <v>50</v>
      </c>
    </row>
    <row r="8" spans="1:8" x14ac:dyDescent="0.2">
      <c r="A8" s="6" t="s">
        <v>51</v>
      </c>
      <c r="B8" s="18">
        <v>1800</v>
      </c>
      <c r="C8" s="18">
        <v>1040</v>
      </c>
      <c r="D8" s="21">
        <v>-760</v>
      </c>
      <c r="E8" s="22" t="s">
        <v>52</v>
      </c>
    </row>
    <row r="10" spans="1:8" ht="24" customHeight="1" x14ac:dyDescent="0.2">
      <c r="A10" s="3" t="s">
        <v>53</v>
      </c>
      <c r="B10" s="3"/>
      <c r="C10" s="3"/>
      <c r="D10" s="3"/>
      <c r="E10" s="3"/>
      <c r="F10" s="3"/>
      <c r="G10" s="3"/>
      <c r="H10" s="3"/>
    </row>
    <row r="11" spans="1:8" ht="27.75" customHeight="1" x14ac:dyDescent="0.2">
      <c r="A11" s="23" t="s">
        <v>1</v>
      </c>
      <c r="B11" s="23" t="s">
        <v>10</v>
      </c>
      <c r="C11" s="23" t="s">
        <v>11</v>
      </c>
      <c r="D11" s="23" t="s">
        <v>54</v>
      </c>
      <c r="E11" s="23" t="s">
        <v>55</v>
      </c>
      <c r="F11" s="23" t="s">
        <v>56</v>
      </c>
      <c r="G11" s="23" t="s">
        <v>57</v>
      </c>
      <c r="H11" s="23" t="s">
        <v>58</v>
      </c>
    </row>
    <row r="12" spans="1:8" x14ac:dyDescent="0.2">
      <c r="A12" s="10" t="s">
        <v>20</v>
      </c>
      <c r="B12" s="24">
        <v>100</v>
      </c>
      <c r="C12" s="24">
        <v>300</v>
      </c>
      <c r="D12" s="11" t="s">
        <v>42</v>
      </c>
      <c r="E12" s="25" t="s">
        <v>59</v>
      </c>
      <c r="F12" s="9">
        <v>100</v>
      </c>
      <c r="G12" s="9">
        <v>150</v>
      </c>
      <c r="H12" s="11" t="s">
        <v>60</v>
      </c>
    </row>
    <row r="13" spans="1:8" x14ac:dyDescent="0.2">
      <c r="A13" s="6" t="s">
        <v>23</v>
      </c>
      <c r="B13" s="18">
        <v>1520</v>
      </c>
      <c r="C13" s="18">
        <v>7600</v>
      </c>
      <c r="D13" s="7" t="s">
        <v>42</v>
      </c>
      <c r="E13" s="25" t="s">
        <v>61</v>
      </c>
      <c r="F13" s="13">
        <v>-760</v>
      </c>
      <c r="G13" s="9">
        <v>1520</v>
      </c>
      <c r="H13" s="7" t="s">
        <v>62</v>
      </c>
    </row>
    <row r="14" spans="1:8" x14ac:dyDescent="0.2">
      <c r="A14" s="10" t="s">
        <v>24</v>
      </c>
      <c r="B14" s="24">
        <v>200</v>
      </c>
      <c r="C14" s="24">
        <v>200</v>
      </c>
      <c r="D14" s="11" t="s">
        <v>63</v>
      </c>
      <c r="E14" s="26" t="s">
        <v>64</v>
      </c>
      <c r="F14" s="9">
        <v>100</v>
      </c>
      <c r="G14" s="9">
        <v>100</v>
      </c>
      <c r="H14" s="11" t="s">
        <v>65</v>
      </c>
    </row>
    <row r="15" spans="1:8" x14ac:dyDescent="0.2">
      <c r="A15" s="6" t="s">
        <v>27</v>
      </c>
      <c r="B15" s="18">
        <v>1200</v>
      </c>
      <c r="C15" s="18">
        <v>1200</v>
      </c>
      <c r="D15" s="7" t="s">
        <v>63</v>
      </c>
      <c r="E15" s="26" t="s">
        <v>64</v>
      </c>
      <c r="F15" s="9">
        <v>600</v>
      </c>
      <c r="G15" s="9">
        <v>600</v>
      </c>
      <c r="H15" s="7" t="s">
        <v>65</v>
      </c>
    </row>
    <row r="16" spans="1:8" x14ac:dyDescent="0.2">
      <c r="A16" s="10" t="s">
        <v>28</v>
      </c>
      <c r="B16" s="24">
        <v>500</v>
      </c>
      <c r="C16" s="24">
        <v>700</v>
      </c>
      <c r="D16" s="11" t="s">
        <v>42</v>
      </c>
      <c r="E16" s="25" t="s">
        <v>59</v>
      </c>
      <c r="F16" s="9">
        <v>250</v>
      </c>
      <c r="G16" s="9">
        <v>350</v>
      </c>
      <c r="H16" s="11" t="s">
        <v>60</v>
      </c>
    </row>
    <row r="17" spans="1:8" x14ac:dyDescent="0.2">
      <c r="A17" s="6" t="s">
        <v>29</v>
      </c>
      <c r="B17" s="18">
        <v>1080</v>
      </c>
      <c r="C17" s="18">
        <v>1080</v>
      </c>
      <c r="D17" s="7" t="s">
        <v>63</v>
      </c>
      <c r="E17" s="26" t="s">
        <v>64</v>
      </c>
      <c r="F17" s="9">
        <v>540</v>
      </c>
      <c r="G17" s="9">
        <v>560</v>
      </c>
      <c r="H17" s="7" t="s">
        <v>60</v>
      </c>
    </row>
    <row r="18" spans="1:8" x14ac:dyDescent="0.2">
      <c r="A18" s="10" t="s">
        <v>32</v>
      </c>
      <c r="B18" s="24">
        <v>1620</v>
      </c>
      <c r="C18" s="24">
        <v>1620</v>
      </c>
      <c r="D18" s="11" t="s">
        <v>63</v>
      </c>
      <c r="E18" s="27" t="s">
        <v>66</v>
      </c>
      <c r="F18" s="13">
        <v>-540</v>
      </c>
      <c r="G18" s="13">
        <v>-540</v>
      </c>
      <c r="H18" s="11" t="s">
        <v>67</v>
      </c>
    </row>
    <row r="19" spans="1:8" x14ac:dyDescent="0.2">
      <c r="A19" s="6" t="s">
        <v>33</v>
      </c>
      <c r="B19" s="18">
        <v>1120</v>
      </c>
      <c r="C19" s="18">
        <v>1120</v>
      </c>
      <c r="D19" s="7" t="s">
        <v>63</v>
      </c>
      <c r="E19" s="26" t="s">
        <v>64</v>
      </c>
      <c r="F19" s="9">
        <v>560</v>
      </c>
      <c r="G19" s="9">
        <v>560</v>
      </c>
      <c r="H19" s="7" t="s">
        <v>65</v>
      </c>
    </row>
    <row r="20" spans="1:8" x14ac:dyDescent="0.2">
      <c r="A20" s="10" t="s">
        <v>36</v>
      </c>
      <c r="B20" s="24">
        <v>3500</v>
      </c>
      <c r="C20" s="24">
        <v>3500</v>
      </c>
      <c r="D20" s="11" t="s">
        <v>63</v>
      </c>
      <c r="E20" s="27" t="s">
        <v>66</v>
      </c>
      <c r="F20" s="13">
        <v>-500</v>
      </c>
      <c r="G20" s="13">
        <v>-500</v>
      </c>
      <c r="H20" s="11" t="s">
        <v>67</v>
      </c>
    </row>
    <row r="23" spans="1:8" x14ac:dyDescent="0.2">
      <c r="A23" s="3" t="s">
        <v>68</v>
      </c>
      <c r="B23" s="3"/>
      <c r="C23" s="3"/>
      <c r="D23" s="3"/>
      <c r="E23" s="3"/>
      <c r="F23" s="3"/>
      <c r="G23" s="3"/>
      <c r="H23" s="3"/>
    </row>
    <row r="24" spans="1:8" ht="19.5" customHeight="1" x14ac:dyDescent="0.2">
      <c r="A24" s="2" t="s">
        <v>69</v>
      </c>
      <c r="B24" s="2"/>
      <c r="C24" s="2"/>
      <c r="D24" s="2"/>
      <c r="E24" s="2"/>
      <c r="F24" s="2"/>
      <c r="G24" s="2"/>
      <c r="H24" s="2"/>
    </row>
    <row r="25" spans="1:8" ht="19.5" customHeight="1" x14ac:dyDescent="0.2">
      <c r="A25" s="1" t="s">
        <v>70</v>
      </c>
      <c r="B25" s="1"/>
      <c r="C25" s="1"/>
      <c r="D25" s="1"/>
      <c r="E25" s="1"/>
      <c r="F25" s="1"/>
      <c r="G25" s="1"/>
      <c r="H25" s="1"/>
    </row>
    <row r="26" spans="1:8" ht="19.5" customHeight="1" x14ac:dyDescent="0.2">
      <c r="A26" s="2" t="s">
        <v>71</v>
      </c>
      <c r="B26" s="2"/>
      <c r="C26" s="2"/>
      <c r="D26" s="2"/>
      <c r="E26" s="2"/>
      <c r="F26" s="2"/>
      <c r="G26" s="2"/>
      <c r="H26" s="2"/>
    </row>
    <row r="27" spans="1:8" ht="19.5" customHeight="1" x14ac:dyDescent="0.2">
      <c r="A27" s="1" t="s">
        <v>72</v>
      </c>
      <c r="B27" s="1"/>
      <c r="C27" s="1"/>
      <c r="D27" s="1"/>
      <c r="E27" s="1"/>
      <c r="F27" s="1"/>
      <c r="G27" s="1"/>
      <c r="H27" s="1"/>
    </row>
    <row r="28" spans="1:8" ht="19.5" customHeight="1" x14ac:dyDescent="0.2">
      <c r="A28" s="2" t="s">
        <v>73</v>
      </c>
      <c r="B28" s="2"/>
      <c r="C28" s="2"/>
      <c r="D28" s="2"/>
      <c r="E28" s="2"/>
      <c r="F28" s="2"/>
      <c r="G28" s="2"/>
      <c r="H28" s="2"/>
    </row>
    <row r="29" spans="1:8" ht="19.5" customHeight="1" x14ac:dyDescent="0.2">
      <c r="A29" s="1" t="s">
        <v>74</v>
      </c>
      <c r="B29" s="1"/>
      <c r="C29" s="1"/>
      <c r="D29" s="1"/>
      <c r="E29" s="1"/>
      <c r="F29" s="1"/>
      <c r="G29" s="1"/>
      <c r="H29" s="1"/>
    </row>
  </sheetData>
  <mergeCells count="10">
    <mergeCell ref="A25:H25"/>
    <mergeCell ref="A26:H26"/>
    <mergeCell ref="A27:H27"/>
    <mergeCell ref="A28:H28"/>
    <mergeCell ref="A29:H29"/>
    <mergeCell ref="A1:H1"/>
    <mergeCell ref="A3:B3"/>
    <mergeCell ref="A10:H10"/>
    <mergeCell ref="A23:H23"/>
    <mergeCell ref="A24:H24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2"/>
  <sheetViews>
    <sheetView showGridLines="0" zoomScaleNormal="100" workbookViewId="0"/>
  </sheetViews>
  <sheetFormatPr defaultColWidth="8.7421875" defaultRowHeight="15" x14ac:dyDescent="0.2"/>
  <cols>
    <col min="1" max="1" width="22.05859375" customWidth="1"/>
    <col min="2" max="9" width="13.98828125" customWidth="1"/>
  </cols>
  <sheetData>
    <row r="1" spans="1:10" ht="36" customHeight="1" x14ac:dyDescent="0.2">
      <c r="A1" s="4" t="s">
        <v>75</v>
      </c>
      <c r="B1" s="4"/>
      <c r="C1" s="4"/>
      <c r="D1" s="4"/>
      <c r="E1" s="4"/>
      <c r="F1" s="4"/>
      <c r="G1" s="4"/>
      <c r="H1" s="4"/>
      <c r="I1" s="4"/>
      <c r="J1" s="4"/>
    </row>
    <row r="3" spans="1:10" x14ac:dyDescent="0.2">
      <c r="A3" s="28" t="s">
        <v>1</v>
      </c>
      <c r="B3" s="28" t="s">
        <v>76</v>
      </c>
      <c r="C3" s="28" t="s">
        <v>77</v>
      </c>
      <c r="D3" s="28" t="s">
        <v>56</v>
      </c>
      <c r="E3" s="28" t="s">
        <v>57</v>
      </c>
      <c r="G3" s="28" t="s">
        <v>40</v>
      </c>
      <c r="H3" s="28" t="s">
        <v>41</v>
      </c>
      <c r="I3" s="28" t="s">
        <v>42</v>
      </c>
    </row>
    <row r="4" spans="1:10" x14ac:dyDescent="0.2">
      <c r="A4" s="10" t="s">
        <v>20</v>
      </c>
      <c r="B4" s="24">
        <v>100</v>
      </c>
      <c r="C4" s="24">
        <v>300</v>
      </c>
      <c r="D4" s="29">
        <v>100</v>
      </c>
      <c r="E4" s="29">
        <v>150</v>
      </c>
      <c r="G4" s="10" t="s">
        <v>45</v>
      </c>
      <c r="H4" s="24">
        <v>10840</v>
      </c>
      <c r="I4" s="24">
        <v>17320</v>
      </c>
    </row>
    <row r="5" spans="1:10" x14ac:dyDescent="0.2">
      <c r="A5" s="6" t="s">
        <v>78</v>
      </c>
      <c r="B5" s="18">
        <v>1520</v>
      </c>
      <c r="C5" s="18">
        <v>7600</v>
      </c>
      <c r="D5" s="30">
        <v>-760</v>
      </c>
      <c r="E5" s="29">
        <v>1520</v>
      </c>
      <c r="G5" s="6" t="s">
        <v>47</v>
      </c>
      <c r="H5" s="18">
        <v>2150</v>
      </c>
      <c r="I5" s="18">
        <v>3840</v>
      </c>
    </row>
    <row r="6" spans="1:10" x14ac:dyDescent="0.2">
      <c r="A6" s="10" t="s">
        <v>24</v>
      </c>
      <c r="B6" s="24">
        <v>200</v>
      </c>
      <c r="C6" s="24">
        <v>200</v>
      </c>
      <c r="D6" s="29">
        <v>100</v>
      </c>
      <c r="E6" s="29">
        <v>100</v>
      </c>
      <c r="G6" s="10" t="s">
        <v>49</v>
      </c>
      <c r="H6" s="24">
        <v>350</v>
      </c>
      <c r="I6" s="24">
        <v>2800</v>
      </c>
    </row>
    <row r="7" spans="1:10" x14ac:dyDescent="0.2">
      <c r="A7" s="6" t="s">
        <v>27</v>
      </c>
      <c r="B7" s="18">
        <v>1200</v>
      </c>
      <c r="C7" s="18">
        <v>1200</v>
      </c>
      <c r="D7" s="29">
        <v>600</v>
      </c>
      <c r="E7" s="29">
        <v>600</v>
      </c>
      <c r="G7" s="6" t="s">
        <v>51</v>
      </c>
      <c r="H7" s="18">
        <v>1800</v>
      </c>
      <c r="I7" s="18">
        <v>1040</v>
      </c>
    </row>
    <row r="8" spans="1:10" x14ac:dyDescent="0.2">
      <c r="A8" s="10" t="s">
        <v>28</v>
      </c>
      <c r="B8" s="24">
        <v>500</v>
      </c>
      <c r="C8" s="24">
        <v>700</v>
      </c>
      <c r="D8" s="29">
        <v>250</v>
      </c>
      <c r="E8" s="29">
        <v>350</v>
      </c>
    </row>
    <row r="9" spans="1:10" x14ac:dyDescent="0.2">
      <c r="A9" s="6" t="s">
        <v>29</v>
      </c>
      <c r="B9" s="18">
        <v>1080</v>
      </c>
      <c r="C9" s="18">
        <v>1080</v>
      </c>
      <c r="D9" s="29">
        <v>540</v>
      </c>
      <c r="E9" s="29">
        <v>560</v>
      </c>
    </row>
    <row r="10" spans="1:10" x14ac:dyDescent="0.2">
      <c r="A10" s="10" t="s">
        <v>32</v>
      </c>
      <c r="B10" s="24">
        <v>1620</v>
      </c>
      <c r="C10" s="24">
        <v>1620</v>
      </c>
      <c r="D10" s="30">
        <v>-540</v>
      </c>
      <c r="E10" s="30">
        <v>-540</v>
      </c>
    </row>
    <row r="11" spans="1:10" x14ac:dyDescent="0.2">
      <c r="A11" s="6" t="s">
        <v>33</v>
      </c>
      <c r="B11" s="18">
        <v>1120</v>
      </c>
      <c r="C11" s="18">
        <v>1120</v>
      </c>
      <c r="D11" s="29">
        <v>560</v>
      </c>
      <c r="E11" s="29">
        <v>560</v>
      </c>
    </row>
    <row r="12" spans="1:10" x14ac:dyDescent="0.2">
      <c r="A12" s="10" t="s">
        <v>36</v>
      </c>
      <c r="B12" s="24">
        <v>3500</v>
      </c>
      <c r="C12" s="24">
        <v>3500</v>
      </c>
      <c r="D12" s="30">
        <v>-500</v>
      </c>
      <c r="E12" s="30">
        <v>-500</v>
      </c>
    </row>
  </sheetData>
  <mergeCells count="1">
    <mergeCell ref="A1:J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Excel Android</Application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 Data</vt:lpstr>
      <vt:lpstr>Summary &amp; Insights</vt:lpstr>
      <vt:lpstr>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/>
  <cp:revision>1</cp:revision>
  <dcterms:created xsi:type="dcterms:W3CDTF">2026-06-07T07:14:24Z</dcterms:created>
  <dcterms:modified xsi:type="dcterms:W3CDTF">2026-06-07T07:14:32Z</dcterms:modified>
  <dc:language>en-US</dc:language>
</cp:coreProperties>
</file>