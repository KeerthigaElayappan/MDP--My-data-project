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79192F02-ED95-914C-8ECD-A185133E8BA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chart.v1.0" hidden="1">Sheet1!$A$2:$A$17</definedName>
    <definedName name="_xlchart.v1.1" hidden="1">Sheet1!$B$2:$B$17</definedName>
    <definedName name="_xlchart.v1.10" hidden="1">Sheet1!$K$2:$K$17</definedName>
    <definedName name="_xlchart.v1.11" hidden="1">Sheet1!$L$2:$L$17</definedName>
    <definedName name="_xlchart.v1.12" hidden="1">Sheet2!$A$3:$A$17</definedName>
    <definedName name="_xlchart.v1.13" hidden="1">Sheet2!$C$3:$C$17</definedName>
    <definedName name="_xlchart.v1.14" hidden="1">Sheet2!$D$3:$D$17</definedName>
    <definedName name="_xlchart.v1.2" hidden="1">Sheet1!$C$2:$C$17</definedName>
    <definedName name="_xlchart.v1.3" hidden="1">Sheet1!$D$2:$D$17</definedName>
    <definedName name="_xlchart.v1.4" hidden="1">Sheet1!$E$2:$E$17</definedName>
    <definedName name="_xlchart.v1.5" hidden="1">Sheet1!$F$2:$F$17</definedName>
    <definedName name="_xlchart.v1.6" hidden="1">Sheet1!$G$2:$G$17</definedName>
    <definedName name="_xlchart.v1.7" hidden="1">Sheet1!$H$2:$H$17</definedName>
    <definedName name="_xlchart.v1.8" hidden="1">Sheet1!$I$2:$I$17</definedName>
    <definedName name="_xlchart.v1.9" hidden="1">Sheet1!$J$2:$J$17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3" l="1"/>
  <c r="J5" i="3"/>
  <c r="J4" i="3"/>
  <c r="K3" i="3"/>
  <c r="J3" i="3"/>
  <c r="C11" i="2"/>
  <c r="J3" i="1"/>
  <c r="J4" i="1"/>
  <c r="J5" i="1"/>
  <c r="J7" i="1"/>
  <c r="J8" i="1"/>
  <c r="J9" i="1"/>
  <c r="J11" i="1"/>
  <c r="J12" i="1"/>
  <c r="J13" i="1"/>
  <c r="J15" i="1"/>
  <c r="J16" i="1"/>
  <c r="J17" i="1"/>
  <c r="K4" i="1"/>
  <c r="K3" i="1"/>
</calcChain>
</file>

<file path=xl/sharedStrings.xml><?xml version="1.0" encoding="utf-8"?>
<sst xmlns="http://schemas.openxmlformats.org/spreadsheetml/2006/main" count="117" uniqueCount="40">
  <si>
    <t>Name</t>
  </si>
  <si>
    <t>Roll no</t>
  </si>
  <si>
    <t>Marks</t>
  </si>
  <si>
    <t>Tamil</t>
  </si>
  <si>
    <t>English</t>
  </si>
  <si>
    <t>Maths</t>
  </si>
  <si>
    <t>Chemistry</t>
  </si>
  <si>
    <t xml:space="preserve">Physics </t>
  </si>
  <si>
    <t xml:space="preserve">Biological </t>
  </si>
  <si>
    <t>Total Marks</t>
  </si>
  <si>
    <t xml:space="preserve">keerthiga </t>
  </si>
  <si>
    <t>Saski</t>
  </si>
  <si>
    <t>sasi</t>
  </si>
  <si>
    <t>isha</t>
  </si>
  <si>
    <t xml:space="preserve">yoga </t>
  </si>
  <si>
    <t>Mark</t>
  </si>
  <si>
    <t>Asya</t>
  </si>
  <si>
    <t xml:space="preserve">Name </t>
  </si>
  <si>
    <t>Total mark</t>
  </si>
  <si>
    <t>Result</t>
  </si>
  <si>
    <t>Manju</t>
  </si>
  <si>
    <t xml:space="preserve">Wednesday </t>
  </si>
  <si>
    <t xml:space="preserve">April </t>
  </si>
  <si>
    <t>Ram</t>
  </si>
  <si>
    <t>Sam</t>
  </si>
  <si>
    <t>Ramu</t>
  </si>
  <si>
    <t>Somu</t>
  </si>
  <si>
    <t>Balu</t>
  </si>
  <si>
    <t>A</t>
  </si>
  <si>
    <t xml:space="preserve">Percentage </t>
  </si>
  <si>
    <t>Pass</t>
  </si>
  <si>
    <t>Arrear</t>
  </si>
  <si>
    <t xml:space="preserve">Absent </t>
  </si>
  <si>
    <t xml:space="preserve">Exam Result </t>
  </si>
  <si>
    <t xml:space="preserve">Overall class mark </t>
  </si>
  <si>
    <t>high mark vs low mark</t>
  </si>
  <si>
    <t xml:space="preserve">English </t>
  </si>
  <si>
    <t xml:space="preserve">chemistry </t>
  </si>
  <si>
    <t xml:space="preserve">Biology 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</si>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</sst>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505050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1" fillId="0" borderId="0" xfId="0" applyFont="1" applyBorder="1"/>
    <xf numFmtId="0" fontId="1" fillId="2" borderId="0" xfId="0" applyFont="1" applyFill="1" applyBorder="1"/>
    <xf numFmtId="0" fontId="2" fillId="0" borderId="0" xfId="0" applyFont="1" applyBorder="1"/>
    <xf numFmtId="0" fontId="0" fillId="0" borderId="0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3" borderId="6" xfId="0" applyFont="1" applyFill="1" applyBorder="1"/>
    <xf numFmtId="0" fontId="0" fillId="0" borderId="6" xfId="0" applyFont="1" applyBorder="1"/>
    <xf numFmtId="0" fontId="0" fillId="4" borderId="6" xfId="0" applyFont="1" applyFill="1" applyBorder="1"/>
    <xf numFmtId="0" fontId="1" fillId="0" borderId="6" xfId="0" applyFont="1" applyBorder="1"/>
    <xf numFmtId="0" fontId="1" fillId="4" borderId="6" xfId="0" applyFont="1" applyFill="1" applyBorder="1"/>
    <xf numFmtId="0" fontId="0" fillId="4" borderId="7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4" borderId="8" xfId="0" applyFont="1" applyFill="1" applyBorder="1"/>
    <xf numFmtId="0" fontId="1" fillId="2" borderId="6" xfId="0" applyFont="1" applyFill="1" applyBorder="1"/>
    <xf numFmtId="164" fontId="1" fillId="4" borderId="6" xfId="0" applyNumberFormat="1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Sheet3!$A$3</c:f>
              <c:strCache>
                <c:ptCount val="1"/>
                <c:pt idx="0">
                  <c:v>Saski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Sheet3!$B$3:$L$3</c:f>
              <c:numCache>
                <c:formatCode>General</c:formatCode>
                <c:ptCount val="11"/>
                <c:pt idx="0">
                  <c:v>2</c:v>
                </c:pt>
                <c:pt idx="1">
                  <c:v>89</c:v>
                </c:pt>
                <c:pt idx="2">
                  <c:v>97</c:v>
                </c:pt>
                <c:pt idx="3">
                  <c:v>98</c:v>
                </c:pt>
                <c:pt idx="4">
                  <c:v>96</c:v>
                </c:pt>
                <c:pt idx="5">
                  <c:v>89</c:v>
                </c:pt>
                <c:pt idx="6">
                  <c:v>89</c:v>
                </c:pt>
                <c:pt idx="7">
                  <c:v>600</c:v>
                </c:pt>
                <c:pt idx="8">
                  <c:v>558</c:v>
                </c:pt>
                <c:pt idx="9">
                  <c:v>93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D-7941-B9EB-AF5574A0CA6A}"/>
            </c:ext>
          </c:extLst>
        </c:ser>
        <c:ser>
          <c:idx val="1"/>
          <c:order val="1"/>
          <c:tx>
            <c:strRef>
              <c:f>Sheet3!$A$4</c:f>
              <c:strCache>
                <c:ptCount val="1"/>
                <c:pt idx="0">
                  <c:v>sasi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Sheet3!$B$4:$L$4</c:f>
              <c:numCache>
                <c:formatCode>General</c:formatCode>
                <c:ptCount val="11"/>
                <c:pt idx="0">
                  <c:v>3</c:v>
                </c:pt>
                <c:pt idx="1">
                  <c:v>99</c:v>
                </c:pt>
                <c:pt idx="2">
                  <c:v>97</c:v>
                </c:pt>
                <c:pt idx="3">
                  <c:v>89</c:v>
                </c:pt>
                <c:pt idx="4">
                  <c:v>90</c:v>
                </c:pt>
                <c:pt idx="5">
                  <c:v>92</c:v>
                </c:pt>
                <c:pt idx="6">
                  <c:v>91</c:v>
                </c:pt>
                <c:pt idx="7">
                  <c:v>600</c:v>
                </c:pt>
                <c:pt idx="8">
                  <c:v>558</c:v>
                </c:pt>
                <c:pt idx="9">
                  <c:v>93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D-7941-B9EB-AF5574A0CA6A}"/>
            </c:ext>
          </c:extLst>
        </c:ser>
        <c:ser>
          <c:idx val="2"/>
          <c:order val="2"/>
          <c:tx>
            <c:strRef>
              <c:f>Sheet3!$A$5</c:f>
              <c:strCache>
                <c:ptCount val="1"/>
                <c:pt idx="0">
                  <c:v>Mark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Sheet3!$B$5:$L$5</c:f>
              <c:numCache>
                <c:formatCode>General</c:formatCode>
                <c:ptCount val="11"/>
                <c:pt idx="0">
                  <c:v>6</c:v>
                </c:pt>
                <c:pt idx="1">
                  <c:v>47</c:v>
                </c:pt>
                <c:pt idx="2">
                  <c:v>34</c:v>
                </c:pt>
                <c:pt idx="3">
                  <c:v>89</c:v>
                </c:pt>
                <c:pt idx="4">
                  <c:v>45</c:v>
                </c:pt>
                <c:pt idx="5">
                  <c:v>87</c:v>
                </c:pt>
                <c:pt idx="6">
                  <c:v>87</c:v>
                </c:pt>
                <c:pt idx="7">
                  <c:v>600</c:v>
                </c:pt>
                <c:pt idx="8">
                  <c:v>389</c:v>
                </c:pt>
                <c:pt idx="9">
                  <c:v>63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D-7941-B9EB-AF5574A0CA6A}"/>
            </c:ext>
          </c:extLst>
        </c:ser>
        <c:ser>
          <c:idx val="3"/>
          <c:order val="3"/>
          <c:tx>
            <c:strRef>
              <c:f>Sheet3!$A$6</c:f>
              <c:strCache>
                <c:ptCount val="1"/>
                <c:pt idx="0">
                  <c:v>Asya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Sheet3!$B$6:$L$6</c:f>
              <c:numCache>
                <c:formatCode>General</c:formatCode>
                <c:ptCount val="11"/>
                <c:pt idx="0">
                  <c:v>7</c:v>
                </c:pt>
                <c:pt idx="1">
                  <c:v>14</c:v>
                </c:pt>
                <c:pt idx="2">
                  <c:v>45</c:v>
                </c:pt>
                <c:pt idx="3">
                  <c:v>33</c:v>
                </c:pt>
                <c:pt idx="4">
                  <c:v>25</c:v>
                </c:pt>
                <c:pt idx="5">
                  <c:v>68</c:v>
                </c:pt>
                <c:pt idx="6">
                  <c:v>56</c:v>
                </c:pt>
                <c:pt idx="7">
                  <c:v>600</c:v>
                </c:pt>
                <c:pt idx="8">
                  <c:v>241</c:v>
                </c:pt>
                <c:pt idx="9" formatCode="0.000000000">
                  <c:v>40.17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D-7941-B9EB-AF5574A0C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700160"/>
        <c:axId val="1075670336"/>
      </c:lineChart>
      <c:catAx>
        <c:axId val="16647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70336"/>
        <c:crosses val="autoZero"/>
        <c:auto val="1"/>
        <c:lblAlgn val="ctr"/>
        <c:lblOffset val="100"/>
        <c:noMultiLvlLbl val="0"/>
      </c:catAx>
      <c:valAx>
        <c:axId val="10756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  <cx:data id="3">
      <cx:strDim type="cat">
        <cx:f>_xlchart.v1.0</cx:f>
      </cx:strDim>
      <cx:numDim type="val">
        <cx:f>_xlchart.v1.4</cx:f>
      </cx:numDim>
    </cx:data>
    <cx:data id="4">
      <cx:strDim type="cat">
        <cx:f>_xlchart.v1.0</cx:f>
      </cx:strDim>
      <cx:numDim type="val">
        <cx:f>_xlchart.v1.5</cx:f>
      </cx:numDim>
    </cx:data>
    <cx:data id="5">
      <cx:strDim type="cat">
        <cx:f>_xlchart.v1.0</cx:f>
      </cx:strDim>
      <cx:numDim type="val">
        <cx:f>_xlchart.v1.6</cx:f>
      </cx:numDim>
    </cx:data>
    <cx:data id="6">
      <cx:strDim type="cat">
        <cx:f>_xlchart.v1.0</cx:f>
      </cx:strDim>
      <cx:numDim type="val">
        <cx:f>_xlchart.v1.7</cx:f>
      </cx:numDim>
    </cx:data>
    <cx:data id="7">
      <cx:strDim type="cat">
        <cx:f>_xlchart.v1.0</cx:f>
      </cx:strDim>
      <cx:numDim type="val">
        <cx:f>_xlchart.v1.8</cx:f>
      </cx:numDim>
    </cx:data>
    <cx:data id="8">
      <cx:strDim type="cat">
        <cx:f>_xlchart.v1.0</cx:f>
      </cx:strDim>
      <cx:numDim type="val">
        <cx:f>_xlchart.v1.9</cx:f>
      </cx:numDim>
    </cx:data>
    <cx:data id="9">
      <cx:strDim type="cat">
        <cx:f>_xlchart.v1.0</cx:f>
      </cx:strDim>
      <cx:numDim type="val">
        <cx:f>_xlchart.v1.10</cx:f>
      </cx:numDim>
    </cx:data>
    <cx:data id="10">
      <cx:strDim type="cat">
        <cx:f>_xlchart.v1.0</cx:f>
      </cx:strDim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4ECDCB11-94E4-3F43-9E77-BAAB8B531CA4}" formatIdx="0">
          <cx:dataId val="0"/>
          <cx:layoutPr>
            <cx:aggregation/>
          </cx:layoutPr>
          <cx:axisId val="1"/>
        </cx:series>
        <cx:series layoutId="paretoLine" ownerIdx="0" uniqueId="{CA63409C-70EC-9045-9AA4-096362508FE1}" formatIdx="1">
          <cx:axisId val="2"/>
        </cx:series>
        <cx:series layoutId="clusteredColumn" hidden="1" uniqueId="{98D42B60-BA0B-E642-960D-B9C25EE27C25}" formatIdx="2">
          <cx:dataId val="1"/>
          <cx:layoutPr>
            <cx:aggregation/>
          </cx:layoutPr>
          <cx:axisId val="1"/>
        </cx:series>
        <cx:series layoutId="paretoLine" ownerIdx="2" uniqueId="{55ADCD71-D578-A04B-B2EC-D7CECE31FDC4}" formatIdx="3">
          <cx:axisId val="2"/>
        </cx:series>
        <cx:series layoutId="clusteredColumn" hidden="1" uniqueId="{5C443056-2FE0-D74D-8A9E-4B61A9E645DE}" formatIdx="4">
          <cx:dataId val="2"/>
          <cx:layoutPr>
            <cx:aggregation/>
          </cx:layoutPr>
          <cx:axisId val="1"/>
        </cx:series>
        <cx:series layoutId="paretoLine" ownerIdx="4" uniqueId="{D76AAA57-730A-A644-B109-854387947FDF}" formatIdx="5">
          <cx:axisId val="2"/>
        </cx:series>
        <cx:series layoutId="clusteredColumn" hidden="1" uniqueId="{9CD137B4-8613-F144-A500-CDD3272EBFC9}" formatIdx="6">
          <cx:dataId val="3"/>
          <cx:layoutPr>
            <cx:aggregation/>
          </cx:layoutPr>
          <cx:axisId val="1"/>
        </cx:series>
        <cx:series layoutId="paretoLine" ownerIdx="6" uniqueId="{99DD4AF8-1CC1-3247-8281-51A08D8BDAF0}" formatIdx="7">
          <cx:axisId val="2"/>
        </cx:series>
        <cx:series layoutId="clusteredColumn" hidden="1" uniqueId="{DDCE8CB9-E69A-C246-81AF-9EA6129EA420}" formatIdx="8">
          <cx:dataId val="4"/>
          <cx:layoutPr>
            <cx:aggregation/>
          </cx:layoutPr>
          <cx:axisId val="1"/>
        </cx:series>
        <cx:series layoutId="paretoLine" ownerIdx="8" uniqueId="{0ECD6616-F2AC-A641-9D00-C167343E2880}" formatIdx="9">
          <cx:axisId val="2"/>
        </cx:series>
        <cx:series layoutId="clusteredColumn" hidden="1" uniqueId="{511F22F2-487A-BA44-814B-3FF2B65EA2AA}" formatIdx="10">
          <cx:dataId val="5"/>
          <cx:layoutPr>
            <cx:aggregation/>
          </cx:layoutPr>
          <cx:axisId val="1"/>
        </cx:series>
        <cx:series layoutId="paretoLine" ownerIdx="10" uniqueId="{315B8084-A486-9A45-A115-0CCD786568A4}" formatIdx="11">
          <cx:axisId val="2"/>
        </cx:series>
        <cx:series layoutId="clusteredColumn" hidden="1" uniqueId="{1860A335-1856-B54E-BB5A-C5922412AF23}" formatIdx="12">
          <cx:dataId val="6"/>
          <cx:layoutPr>
            <cx:aggregation/>
          </cx:layoutPr>
          <cx:axisId val="1"/>
        </cx:series>
        <cx:series layoutId="paretoLine" ownerIdx="12" uniqueId="{B0A9DF6B-F300-DC4A-A2FA-E911C1FF9E64}" formatIdx="13">
          <cx:axisId val="2"/>
        </cx:series>
        <cx:series layoutId="clusteredColumn" hidden="1" uniqueId="{E45650B4-23EB-0B4F-97ED-03BE3083999B}" formatIdx="14">
          <cx:dataId val="7"/>
          <cx:layoutPr>
            <cx:aggregation/>
          </cx:layoutPr>
          <cx:axisId val="1"/>
        </cx:series>
        <cx:series layoutId="paretoLine" ownerIdx="14" uniqueId="{FA029D66-3DC8-514B-BD48-740D71531B56}" formatIdx="15">
          <cx:axisId val="2"/>
        </cx:series>
        <cx:series layoutId="clusteredColumn" hidden="1" uniqueId="{44FD5697-49AC-6F4F-9761-0DB75F967DA6}" formatIdx="16">
          <cx:dataId val="8"/>
          <cx:layoutPr>
            <cx:aggregation/>
          </cx:layoutPr>
          <cx:axisId val="1"/>
        </cx:series>
        <cx:series layoutId="paretoLine" ownerIdx="16" uniqueId="{FB3C8BE9-109A-2042-8999-4EA7BA72CB65}" formatIdx="17">
          <cx:axisId val="2"/>
        </cx:series>
        <cx:series layoutId="clusteredColumn" hidden="1" uniqueId="{79314AC5-85BA-EF4E-8315-9CD43F06EA94}" formatIdx="18">
          <cx:dataId val="9"/>
          <cx:layoutPr>
            <cx:aggregation/>
          </cx:layoutPr>
          <cx:axisId val="1"/>
        </cx:series>
        <cx:series layoutId="paretoLine" ownerIdx="18" uniqueId="{4AA0C57E-6C61-6443-9D84-664121807E93}" formatIdx="19">
          <cx:axisId val="2"/>
        </cx:series>
        <cx:series layoutId="clusteredColumn" hidden="1" uniqueId="{DE824DB1-5D49-B842-B372-14092D7BDA59}" formatIdx="22">
          <cx:dataId val="10"/>
          <cx:layoutPr>
            <cx:aggregation/>
          </cx:layoutPr>
          <cx:axisId val="1"/>
        </cx:series>
        <cx:series layoutId="paretoLine" ownerIdx="20" uniqueId="{DF108E8B-4982-9647-9B08-F5BE81F3CB27}" formatIdx="2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  <cx:data id="1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DFC68A38-D7BF-2F4A-A8D2-585B17256454}" formatIdx="0">
          <cx:dataId val="0"/>
          <cx:layoutPr>
            <cx:aggregation/>
          </cx:layoutPr>
          <cx:axisId val="0"/>
        </cx:series>
        <cx:series layoutId="paretoLine" ownerIdx="0" uniqueId="{C5B42B1D-FD66-4C4E-8AF8-A8FE36CA4F31}" formatIdx="2">
          <cx:axisId val="2"/>
        </cx:series>
        <cx:series layoutId="clusteredColumn" hidden="1" uniqueId="{AFBA4B2E-0B3D-384C-8B5A-F7EED587420F}" formatIdx="1">
          <cx:dataId val="1"/>
          <cx:layoutPr>
            <cx:aggregation/>
          </cx:layoutPr>
          <cx:axisId val="0"/>
        </cx:series>
        <cx:series layoutId="paretoLine" ownerIdx="2" uniqueId="{54DF430F-BE14-404A-9ED7-6D7B4063A705}" formatIdx="3">
          <cx:axisId val="2"/>
        </cx:series>
      </cx:plotAreaRegion>
      <cx:axis id="0">
        <cx:valScaling/>
        <cx:tickLabels/>
      </cx:axis>
      <cx:axis id="1">
        <cx:catScaling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285931</xdr:colOff>
      <xdr:row>18</xdr:row>
      <xdr:rowOff>5806</xdr:rowOff>
    </xdr:from>
    <xdr:to>
      <xdr:col>8</xdr:col>
      <xdr:colOff>394788</xdr:colOff>
      <xdr:row>37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8BA9A6E-DB87-B248-0BE6-483AB2B497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83312</xdr:colOff>
      <xdr:row>8</xdr:row>
      <xdr:rowOff>34544</xdr:rowOff>
    </xdr:from>
    <xdr:to>
      <xdr:col>11</xdr:col>
      <xdr:colOff>709168</xdr:colOff>
      <xdr:row>22</xdr:row>
      <xdr:rowOff>103632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5240F-BA58-08AC-F032-19F940EB3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369824</xdr:colOff>
      <xdr:row>22</xdr:row>
      <xdr:rowOff>77216</xdr:rowOff>
    </xdr:from>
    <xdr:to>
      <xdr:col>6</xdr:col>
      <xdr:colOff>438912</xdr:colOff>
      <xdr:row>36</xdr:row>
      <xdr:rowOff>89408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5866BA2-D8CC-F2C1-23E4-AD201E61A7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64718-FDCB-8F42-9635-53D23CCEF62F}" name="Table1" displayName="Table1" ref="A2:L17" totalsRowShown="0">
  <autoFilter ref="A2:L17" xr:uid="{88D64718-FDCB-8F42-9635-53D23CCEF62F}"/>
  <tableColumns count="12">
    <tableColumn id="1" xr3:uid="{CC002B18-05FD-6945-9C21-D6C0D6172C5F}" name="Name"/>
    <tableColumn id="2" xr3:uid="{4DC84F32-844E-5E41-88B1-AD92FE1AE43D}" name="Roll no"/>
    <tableColumn id="3" xr3:uid="{F8DCEF1C-F035-474F-8999-C58054D64C7E}" name="Tamil"/>
    <tableColumn id="4" xr3:uid="{81471300-4032-2D4B-B028-1F8CF48545A3}" name="English"/>
    <tableColumn id="5" xr3:uid="{3AFF55A8-FDB5-A948-94B7-D791FFB71971}" name="Maths"/>
    <tableColumn id="6" xr3:uid="{5A361718-8558-B64A-87A4-17D58634A363}" name="Chemistry"/>
    <tableColumn id="7" xr3:uid="{8B44A223-FA20-4242-8BDE-CB4CC7B5011A}" name="Physics "/>
    <tableColumn id="8" xr3:uid="{4CB45474-5BF7-4C4D-8B1A-80C10B58B138}" name="Biological "/>
    <tableColumn id="9" xr3:uid="{4F579BE4-ECE9-714F-8A88-89DEAA482E63}" name="Marks"/>
    <tableColumn id="10" xr3:uid="{BA16C45A-6CEC-AF48-B638-A3BB8720151C}" name="Total Marks"/>
    <tableColumn id="11" xr3:uid="{57234C90-5106-BA44-ABB4-908346F1CB94}" name="Percentage "/>
    <tableColumn id="13" xr3:uid="{720388BE-B36D-0843-8567-3229805A4C4F}" name="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246954-A533-9243-AC65-F4B8AA6568C7}" name="Table2" displayName="Table2" ref="A2:D17" totalsRowShown="0" tableBorderDxfId="1">
  <autoFilter ref="A2:D17" xr:uid="{1C246954-A533-9243-AC65-F4B8AA6568C7}"/>
  <tableColumns count="4">
    <tableColumn id="1" xr3:uid="{CED319C2-4D8B-7645-AD5F-569488BED0F2}" name="Name "/>
    <tableColumn id="4" xr3:uid="{EC923E61-B4EB-9D4A-A297-DFDDFF32BD9E}" name="Roll no"/>
    <tableColumn id="2" xr3:uid="{3B54B4B5-109C-5F48-B0DF-BCFBA11D5FEB}" name="Total mark"/>
    <tableColumn id="3" xr3:uid="{426227D5-00A0-C64A-966D-9DB7834BA9BE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F02E-81A1-0C4F-ADCF-D66080BBD1EB}">
  <dimension ref="A1:M17"/>
  <sheetViews>
    <sheetView topLeftCell="H7" zoomScaleNormal="60" zoomScaleSheetLayoutView="100" workbookViewId="0">
      <selection activeCell="K9" sqref="K9"/>
    </sheetView>
  </sheetViews>
  <sheetFormatPr defaultRowHeight="15" x14ac:dyDescent="0.2"/>
  <cols>
    <col min="1" max="1" width="11.703125" customWidth="1"/>
    <col min="2" max="2" width="9.68359375" bestFit="1" customWidth="1"/>
    <col min="4" max="4" width="9.953125" bestFit="1" customWidth="1"/>
    <col min="5" max="5" width="9.14453125" bestFit="1" customWidth="1"/>
    <col min="6" max="6" width="12.5078125" bestFit="1" customWidth="1"/>
    <col min="7" max="7" width="10.76171875" bestFit="1" customWidth="1"/>
    <col min="8" max="8" width="12.5078125" bestFit="1" customWidth="1"/>
    <col min="9" max="9" width="8.7421875" bestFit="1" customWidth="1"/>
    <col min="10" max="10" width="13.71875" customWidth="1"/>
    <col min="11" max="11" width="13.98828125" bestFit="1" customWidth="1"/>
    <col min="12" max="12" width="11.1640625" customWidth="1"/>
    <col min="13" max="13" width="12.375" customWidth="1"/>
  </cols>
  <sheetData>
    <row r="1" spans="1:13" x14ac:dyDescent="0.2">
      <c r="A1" s="24" t="s">
        <v>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.75" thickBot="1" x14ac:dyDescent="0.25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2</v>
      </c>
      <c r="J2" t="s">
        <v>9</v>
      </c>
      <c r="K2" t="s">
        <v>29</v>
      </c>
      <c r="L2" t="s">
        <v>19</v>
      </c>
    </row>
    <row r="3" spans="1:13" x14ac:dyDescent="0.2">
      <c r="A3" s="8" t="s">
        <v>10</v>
      </c>
      <c r="B3" s="9">
        <v>1</v>
      </c>
      <c r="C3" s="9">
        <v>76</v>
      </c>
      <c r="D3" s="9">
        <v>98</v>
      </c>
      <c r="E3" s="9">
        <v>88</v>
      </c>
      <c r="F3" s="9">
        <v>97</v>
      </c>
      <c r="G3" s="9">
        <v>89</v>
      </c>
      <c r="H3" s="9">
        <v>80</v>
      </c>
      <c r="I3" s="9">
        <v>600</v>
      </c>
      <c r="J3" s="9">
        <f>SUM(C3:H3)</f>
        <v>528</v>
      </c>
      <c r="K3" s="9">
        <f>(528/600)*100</f>
        <v>88</v>
      </c>
      <c r="L3" t="s">
        <v>30</v>
      </c>
    </row>
    <row r="4" spans="1:13" x14ac:dyDescent="0.2">
      <c r="A4" s="10" t="s">
        <v>11</v>
      </c>
      <c r="B4" s="3">
        <v>2</v>
      </c>
      <c r="C4" s="3">
        <v>89</v>
      </c>
      <c r="D4" s="3">
        <v>97</v>
      </c>
      <c r="E4" s="3">
        <v>98</v>
      </c>
      <c r="F4" s="3">
        <v>96</v>
      </c>
      <c r="G4" s="3">
        <v>89</v>
      </c>
      <c r="H4" s="3">
        <v>89</v>
      </c>
      <c r="I4" s="3">
        <v>600</v>
      </c>
      <c r="J4" s="3">
        <f>SUM(C4:H4)</f>
        <v>558</v>
      </c>
      <c r="K4" s="3">
        <f>(558/600)*100</f>
        <v>93</v>
      </c>
      <c r="L4" t="s">
        <v>30</v>
      </c>
    </row>
    <row r="5" spans="1:13" x14ac:dyDescent="0.2">
      <c r="A5" s="10" t="s">
        <v>12</v>
      </c>
      <c r="B5" s="3">
        <v>3</v>
      </c>
      <c r="C5" s="3">
        <v>99</v>
      </c>
      <c r="D5" s="3">
        <v>97</v>
      </c>
      <c r="E5" s="3">
        <v>89</v>
      </c>
      <c r="F5" s="3">
        <v>90</v>
      </c>
      <c r="G5" s="3">
        <v>92</v>
      </c>
      <c r="H5" s="3">
        <v>91</v>
      </c>
      <c r="I5" s="3">
        <v>600</v>
      </c>
      <c r="J5" s="3">
        <f>SUM(C5:H5)</f>
        <v>558</v>
      </c>
      <c r="K5" s="3">
        <v>93</v>
      </c>
      <c r="L5" t="s">
        <v>30</v>
      </c>
    </row>
    <row r="6" spans="1:13" x14ac:dyDescent="0.2">
      <c r="A6" s="10" t="s">
        <v>13</v>
      </c>
      <c r="B6" s="3">
        <v>4</v>
      </c>
      <c r="C6" s="3">
        <v>65</v>
      </c>
      <c r="D6" s="3">
        <v>89</v>
      </c>
      <c r="E6" s="3">
        <v>58</v>
      </c>
      <c r="F6" s="3">
        <v>52</v>
      </c>
      <c r="G6" s="3">
        <v>35</v>
      </c>
      <c r="H6" s="3">
        <v>40</v>
      </c>
      <c r="I6" s="3">
        <v>600</v>
      </c>
      <c r="J6" s="3">
        <v>466</v>
      </c>
      <c r="K6" s="3">
        <v>78</v>
      </c>
      <c r="L6" t="s">
        <v>30</v>
      </c>
    </row>
    <row r="7" spans="1:13" x14ac:dyDescent="0.2">
      <c r="A7" s="10" t="s">
        <v>14</v>
      </c>
      <c r="B7" s="3">
        <v>5</v>
      </c>
      <c r="C7" s="3">
        <v>78</v>
      </c>
      <c r="D7" s="3">
        <v>62</v>
      </c>
      <c r="E7" s="3">
        <v>89</v>
      </c>
      <c r="F7" s="3">
        <v>54</v>
      </c>
      <c r="G7" s="3">
        <v>89</v>
      </c>
      <c r="H7" s="3">
        <v>94</v>
      </c>
      <c r="I7" s="3">
        <v>600</v>
      </c>
      <c r="J7" s="3">
        <f>SUM(C7:H7)</f>
        <v>466</v>
      </c>
      <c r="K7" s="3">
        <v>78</v>
      </c>
      <c r="L7" t="s">
        <v>30</v>
      </c>
    </row>
    <row r="8" spans="1:13" x14ac:dyDescent="0.2">
      <c r="A8" s="10" t="s">
        <v>15</v>
      </c>
      <c r="B8" s="3">
        <v>6</v>
      </c>
      <c r="C8" s="3">
        <v>47</v>
      </c>
      <c r="D8" s="4">
        <v>34</v>
      </c>
      <c r="E8" s="3">
        <v>89</v>
      </c>
      <c r="F8" s="3">
        <v>45</v>
      </c>
      <c r="G8" s="3">
        <v>87</v>
      </c>
      <c r="H8" s="3">
        <v>87</v>
      </c>
      <c r="I8" s="3">
        <v>600</v>
      </c>
      <c r="J8" s="4">
        <f>SUM(C8:H8)</f>
        <v>389</v>
      </c>
      <c r="K8" s="4">
        <v>65</v>
      </c>
      <c r="L8" t="s">
        <v>31</v>
      </c>
    </row>
    <row r="9" spans="1:13" x14ac:dyDescent="0.2">
      <c r="A9" s="10" t="s">
        <v>16</v>
      </c>
      <c r="B9" s="3">
        <v>7</v>
      </c>
      <c r="C9" s="5">
        <v>14</v>
      </c>
      <c r="D9" s="3">
        <v>45</v>
      </c>
      <c r="E9" s="4">
        <v>33</v>
      </c>
      <c r="F9" s="4">
        <v>25</v>
      </c>
      <c r="G9" s="3">
        <v>68</v>
      </c>
      <c r="H9" s="3">
        <v>56</v>
      </c>
      <c r="I9" s="3">
        <v>600</v>
      </c>
      <c r="J9" s="4">
        <f>SUM(C9:H9)</f>
        <v>241</v>
      </c>
      <c r="K9" s="4">
        <v>41</v>
      </c>
      <c r="L9" t="s">
        <v>31</v>
      </c>
    </row>
    <row r="10" spans="1:13" x14ac:dyDescent="0.2">
      <c r="A10" s="10" t="s">
        <v>20</v>
      </c>
      <c r="B10" s="3">
        <v>8</v>
      </c>
      <c r="C10" s="6" t="s">
        <v>28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28</v>
      </c>
      <c r="I10" s="7">
        <v>600</v>
      </c>
      <c r="J10" s="6" t="s">
        <v>28</v>
      </c>
      <c r="K10" s="6" t="s">
        <v>28</v>
      </c>
      <c r="L10" t="s">
        <v>32</v>
      </c>
    </row>
    <row r="11" spans="1:13" x14ac:dyDescent="0.2">
      <c r="A11" s="10" t="s">
        <v>21</v>
      </c>
      <c r="B11" s="3">
        <v>9</v>
      </c>
      <c r="C11" s="3">
        <v>45</v>
      </c>
      <c r="D11" s="3">
        <v>85</v>
      </c>
      <c r="E11" s="3">
        <v>62</v>
      </c>
      <c r="F11" s="3">
        <v>70</v>
      </c>
      <c r="G11" s="3">
        <v>90</v>
      </c>
      <c r="H11" s="3">
        <v>78</v>
      </c>
      <c r="I11" s="3">
        <v>600</v>
      </c>
      <c r="J11" s="3">
        <f>45+85+62+70+90+78</f>
        <v>430</v>
      </c>
      <c r="K11" s="3">
        <v>72</v>
      </c>
      <c r="L11" t="s">
        <v>30</v>
      </c>
    </row>
    <row r="12" spans="1:13" x14ac:dyDescent="0.2">
      <c r="A12" s="10" t="s">
        <v>22</v>
      </c>
      <c r="B12" s="3">
        <v>10</v>
      </c>
      <c r="C12" s="3">
        <v>60</v>
      </c>
      <c r="D12" s="3">
        <v>78</v>
      </c>
      <c r="E12" s="3">
        <v>52</v>
      </c>
      <c r="F12" s="3">
        <v>62</v>
      </c>
      <c r="G12" s="3">
        <v>87</v>
      </c>
      <c r="H12" s="3">
        <v>57</v>
      </c>
      <c r="I12" s="3">
        <v>600</v>
      </c>
      <c r="J12" s="3">
        <f>SUM(B12:H12)</f>
        <v>406</v>
      </c>
      <c r="K12" s="3">
        <v>68</v>
      </c>
      <c r="L12" t="s">
        <v>30</v>
      </c>
    </row>
    <row r="13" spans="1:13" x14ac:dyDescent="0.2">
      <c r="A13" s="10" t="s">
        <v>23</v>
      </c>
      <c r="B13" s="3">
        <v>11</v>
      </c>
      <c r="C13" s="3">
        <v>75</v>
      </c>
      <c r="D13" s="3">
        <v>77</v>
      </c>
      <c r="E13" s="3">
        <v>53</v>
      </c>
      <c r="F13" s="3">
        <v>45</v>
      </c>
      <c r="G13" s="3">
        <v>65</v>
      </c>
      <c r="H13" s="3">
        <v>76</v>
      </c>
      <c r="I13" s="3">
        <v>600</v>
      </c>
      <c r="J13" s="3">
        <f>SUM(B12:H12)</f>
        <v>406</v>
      </c>
      <c r="K13" s="3">
        <v>68</v>
      </c>
      <c r="L13" t="s">
        <v>30</v>
      </c>
    </row>
    <row r="14" spans="1:13" x14ac:dyDescent="0.2">
      <c r="A14" s="10" t="s">
        <v>24</v>
      </c>
      <c r="B14" s="3">
        <v>12</v>
      </c>
      <c r="C14" s="6" t="s">
        <v>28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28</v>
      </c>
      <c r="I14" s="7">
        <v>600</v>
      </c>
      <c r="J14" s="6" t="s">
        <v>28</v>
      </c>
      <c r="K14" s="6" t="s">
        <v>28</v>
      </c>
      <c r="L14" t="s">
        <v>32</v>
      </c>
    </row>
    <row r="15" spans="1:13" x14ac:dyDescent="0.2">
      <c r="A15" s="10" t="s">
        <v>25</v>
      </c>
      <c r="B15" s="3">
        <v>13</v>
      </c>
      <c r="C15" s="3">
        <v>77</v>
      </c>
      <c r="D15" s="3">
        <v>76</v>
      </c>
      <c r="E15" s="3">
        <v>78</v>
      </c>
      <c r="F15" s="3">
        <v>88</v>
      </c>
      <c r="G15" s="3">
        <v>76</v>
      </c>
      <c r="H15" s="3">
        <v>87</v>
      </c>
      <c r="I15" s="3">
        <v>600</v>
      </c>
      <c r="J15" s="3">
        <f>SUM(B15:H15)</f>
        <v>495</v>
      </c>
      <c r="K15" s="3">
        <v>83</v>
      </c>
      <c r="L15" t="s">
        <v>30</v>
      </c>
    </row>
    <row r="16" spans="1:13" x14ac:dyDescent="0.2">
      <c r="A16" s="10" t="s">
        <v>26</v>
      </c>
      <c r="B16" s="3">
        <v>14</v>
      </c>
      <c r="C16" s="3">
        <v>87</v>
      </c>
      <c r="D16" s="3">
        <v>97</v>
      </c>
      <c r="E16" s="3">
        <v>66</v>
      </c>
      <c r="F16" s="3">
        <v>86</v>
      </c>
      <c r="G16" s="3">
        <v>98</v>
      </c>
      <c r="H16" s="3">
        <v>77</v>
      </c>
      <c r="I16" s="3">
        <v>600</v>
      </c>
      <c r="J16" s="3">
        <f>SUM(B16:H16)</f>
        <v>525</v>
      </c>
      <c r="K16" s="3">
        <v>88</v>
      </c>
      <c r="L16" t="s">
        <v>30</v>
      </c>
    </row>
    <row r="17" spans="1:12" ht="15.75" thickBot="1" x14ac:dyDescent="0.25">
      <c r="A17" s="11" t="s">
        <v>27</v>
      </c>
      <c r="B17" s="12">
        <v>15</v>
      </c>
      <c r="C17" s="12">
        <v>67</v>
      </c>
      <c r="D17" s="12">
        <v>88</v>
      </c>
      <c r="E17" s="12">
        <v>77</v>
      </c>
      <c r="F17" s="12">
        <v>56</v>
      </c>
      <c r="G17" s="12">
        <v>67</v>
      </c>
      <c r="H17" s="12">
        <v>55</v>
      </c>
      <c r="I17" s="12">
        <v>600</v>
      </c>
      <c r="J17" s="12">
        <f>SUM(B17:H17)</f>
        <v>425</v>
      </c>
      <c r="K17" s="12">
        <v>71</v>
      </c>
      <c r="L17" t="s">
        <v>30</v>
      </c>
    </row>
  </sheetData>
  <mergeCells count="1"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7F06-151B-E64A-A391-338844E3FDD7}">
  <dimension ref="A1:N6"/>
  <sheetViews>
    <sheetView tabSelected="1" topLeftCell="I1" zoomScaleNormal="60" zoomScaleSheetLayoutView="100" workbookViewId="0">
      <selection activeCell="K6" sqref="K6"/>
    </sheetView>
  </sheetViews>
  <sheetFormatPr defaultRowHeight="15" x14ac:dyDescent="0.2"/>
  <cols>
    <col min="10" max="10" width="13.98828125" customWidth="1"/>
    <col min="11" max="11" width="15.87109375" customWidth="1"/>
    <col min="12" max="12" width="12.10546875" customWidth="1"/>
  </cols>
  <sheetData>
    <row r="1" spans="1:14" x14ac:dyDescent="0.2">
      <c r="A1" s="24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t="s">
        <v>0</v>
      </c>
      <c r="B2" t="s">
        <v>1</v>
      </c>
      <c r="C2" t="s">
        <v>3</v>
      </c>
      <c r="D2" t="s">
        <v>36</v>
      </c>
      <c r="E2" t="s">
        <v>5</v>
      </c>
      <c r="F2" t="s">
        <v>37</v>
      </c>
      <c r="G2" t="s">
        <v>7</v>
      </c>
      <c r="H2" t="s">
        <v>38</v>
      </c>
      <c r="I2" t="s">
        <v>2</v>
      </c>
      <c r="J2" t="s">
        <v>39</v>
      </c>
      <c r="K2" t="s">
        <v>29</v>
      </c>
      <c r="L2" t="s">
        <v>19</v>
      </c>
    </row>
    <row r="3" spans="1:14" x14ac:dyDescent="0.2">
      <c r="A3" s="20" t="s">
        <v>11</v>
      </c>
      <c r="B3" s="14">
        <v>2</v>
      </c>
      <c r="C3" s="14">
        <v>89</v>
      </c>
      <c r="D3" s="14">
        <v>97</v>
      </c>
      <c r="E3" s="14">
        <v>98</v>
      </c>
      <c r="F3" s="14">
        <v>96</v>
      </c>
      <c r="G3" s="14">
        <v>89</v>
      </c>
      <c r="H3" s="14">
        <v>89</v>
      </c>
      <c r="I3" s="14">
        <v>600</v>
      </c>
      <c r="J3" s="14">
        <f>SUM(C3:H3)</f>
        <v>558</v>
      </c>
      <c r="K3" s="14">
        <f>(558/600)*100</f>
        <v>93</v>
      </c>
      <c r="L3" s="19" t="s">
        <v>30</v>
      </c>
    </row>
    <row r="4" spans="1:14" x14ac:dyDescent="0.2">
      <c r="A4" s="21" t="s">
        <v>12</v>
      </c>
      <c r="B4" s="15">
        <v>3</v>
      </c>
      <c r="C4" s="15">
        <v>99</v>
      </c>
      <c r="D4" s="15">
        <v>97</v>
      </c>
      <c r="E4" s="15">
        <v>89</v>
      </c>
      <c r="F4" s="15">
        <v>90</v>
      </c>
      <c r="G4" s="15">
        <v>92</v>
      </c>
      <c r="H4" s="15">
        <v>91</v>
      </c>
      <c r="I4" s="15">
        <v>600</v>
      </c>
      <c r="J4" s="15">
        <f>SUM(C4:H4)</f>
        <v>558</v>
      </c>
      <c r="K4" s="15">
        <v>93</v>
      </c>
      <c r="L4" s="18" t="s">
        <v>30</v>
      </c>
    </row>
    <row r="5" spans="1:14" x14ac:dyDescent="0.2">
      <c r="A5" s="20" t="s">
        <v>15</v>
      </c>
      <c r="B5" s="14">
        <v>6</v>
      </c>
      <c r="C5" s="14">
        <v>47</v>
      </c>
      <c r="D5" s="16">
        <v>34</v>
      </c>
      <c r="E5" s="14">
        <v>89</v>
      </c>
      <c r="F5" s="14">
        <v>45</v>
      </c>
      <c r="G5" s="14">
        <v>87</v>
      </c>
      <c r="H5" s="14">
        <v>87</v>
      </c>
      <c r="I5" s="14">
        <v>600</v>
      </c>
      <c r="J5" s="16">
        <f>SUM(C5:H5)</f>
        <v>389</v>
      </c>
      <c r="K5" s="16">
        <v>63</v>
      </c>
      <c r="L5" s="19" t="s">
        <v>31</v>
      </c>
    </row>
    <row r="6" spans="1:14" x14ac:dyDescent="0.2">
      <c r="A6" s="21" t="s">
        <v>16</v>
      </c>
      <c r="B6" s="15">
        <v>7</v>
      </c>
      <c r="C6" s="22">
        <v>14</v>
      </c>
      <c r="D6" s="15">
        <v>45</v>
      </c>
      <c r="E6" s="17">
        <v>33</v>
      </c>
      <c r="F6" s="17">
        <v>25</v>
      </c>
      <c r="G6" s="15">
        <v>68</v>
      </c>
      <c r="H6" s="15">
        <v>56</v>
      </c>
      <c r="I6" s="15">
        <v>600</v>
      </c>
      <c r="J6" s="17">
        <f>SUM(C6:H6)</f>
        <v>241</v>
      </c>
      <c r="K6" s="23">
        <v>40.17</v>
      </c>
      <c r="L6" s="18" t="s">
        <v>31</v>
      </c>
    </row>
  </sheetData>
  <mergeCells count="1">
    <mergeCell ref="A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BFED-53E6-8C44-A1F5-FADD19EC2300}">
  <dimension ref="A1:D17"/>
  <sheetViews>
    <sheetView zoomScaleNormal="60" zoomScaleSheetLayoutView="100" workbookViewId="0">
      <selection activeCell="C5" sqref="C5"/>
    </sheetView>
  </sheetViews>
  <sheetFormatPr defaultRowHeight="15" x14ac:dyDescent="0.2"/>
  <cols>
    <col min="1" max="1" width="11.02734375" bestFit="1" customWidth="1"/>
    <col min="2" max="2" width="13.44921875" customWidth="1"/>
    <col min="3" max="3" width="12.77734375" customWidth="1"/>
    <col min="4" max="4" width="9.14453125" bestFit="1" customWidth="1"/>
  </cols>
  <sheetData>
    <row r="1" spans="1:4" x14ac:dyDescent="0.2">
      <c r="A1" s="24" t="s">
        <v>34</v>
      </c>
      <c r="B1" s="24"/>
      <c r="C1" s="24"/>
      <c r="D1" s="24"/>
    </row>
    <row r="2" spans="1:4" x14ac:dyDescent="0.2">
      <c r="A2" t="s">
        <v>17</v>
      </c>
      <c r="B2" t="s">
        <v>1</v>
      </c>
      <c r="C2" t="s">
        <v>18</v>
      </c>
      <c r="D2" s="13" t="s">
        <v>19</v>
      </c>
    </row>
    <row r="3" spans="1:4" x14ac:dyDescent="0.2">
      <c r="A3" t="s">
        <v>10</v>
      </c>
      <c r="B3">
        <v>1</v>
      </c>
      <c r="C3">
        <v>528</v>
      </c>
      <c r="D3" s="15" t="s">
        <v>30</v>
      </c>
    </row>
    <row r="4" spans="1:4" x14ac:dyDescent="0.2">
      <c r="A4" t="s">
        <v>11</v>
      </c>
      <c r="B4">
        <v>2</v>
      </c>
      <c r="C4">
        <v>588</v>
      </c>
      <c r="D4" s="14" t="s">
        <v>30</v>
      </c>
    </row>
    <row r="5" spans="1:4" x14ac:dyDescent="0.2">
      <c r="A5" t="s">
        <v>12</v>
      </c>
      <c r="B5">
        <v>3</v>
      </c>
      <c r="C5">
        <v>558</v>
      </c>
      <c r="D5" s="15" t="s">
        <v>30</v>
      </c>
    </row>
    <row r="6" spans="1:4" x14ac:dyDescent="0.2">
      <c r="A6" t="s">
        <v>13</v>
      </c>
      <c r="B6">
        <v>4</v>
      </c>
      <c r="C6">
        <v>466</v>
      </c>
      <c r="D6" s="14" t="s">
        <v>30</v>
      </c>
    </row>
    <row r="7" spans="1:4" x14ac:dyDescent="0.2">
      <c r="A7" t="s">
        <v>14</v>
      </c>
      <c r="B7">
        <v>5</v>
      </c>
      <c r="C7">
        <v>466</v>
      </c>
      <c r="D7" s="15" t="s">
        <v>30</v>
      </c>
    </row>
    <row r="8" spans="1:4" x14ac:dyDescent="0.2">
      <c r="A8" t="s">
        <v>15</v>
      </c>
      <c r="B8">
        <v>6</v>
      </c>
      <c r="C8" s="1">
        <v>389</v>
      </c>
      <c r="D8" s="14" t="s">
        <v>31</v>
      </c>
    </row>
    <row r="9" spans="1:4" x14ac:dyDescent="0.2">
      <c r="A9" t="s">
        <v>16</v>
      </c>
      <c r="B9">
        <v>7</v>
      </c>
      <c r="C9" s="1">
        <v>241</v>
      </c>
      <c r="D9" s="15" t="s">
        <v>31</v>
      </c>
    </row>
    <row r="10" spans="1:4" x14ac:dyDescent="0.2">
      <c r="A10" t="s">
        <v>20</v>
      </c>
      <c r="B10">
        <v>8</v>
      </c>
      <c r="C10" s="2" t="s">
        <v>28</v>
      </c>
      <c r="D10" s="14" t="s">
        <v>32</v>
      </c>
    </row>
    <row r="11" spans="1:4" x14ac:dyDescent="0.2">
      <c r="A11" t="s">
        <v>21</v>
      </c>
      <c r="B11">
        <v>9</v>
      </c>
      <c r="C11">
        <f>45+85+62+70+90+78</f>
        <v>430</v>
      </c>
      <c r="D11" s="15" t="s">
        <v>30</v>
      </c>
    </row>
    <row r="12" spans="1:4" x14ac:dyDescent="0.2">
      <c r="A12" t="s">
        <v>22</v>
      </c>
      <c r="B12">
        <v>10</v>
      </c>
      <c r="C12">
        <v>406</v>
      </c>
      <c r="D12" s="14" t="s">
        <v>30</v>
      </c>
    </row>
    <row r="13" spans="1:4" x14ac:dyDescent="0.2">
      <c r="A13" t="s">
        <v>23</v>
      </c>
      <c r="B13">
        <v>11</v>
      </c>
      <c r="C13">
        <v>406</v>
      </c>
      <c r="D13" s="15" t="s">
        <v>30</v>
      </c>
    </row>
    <row r="14" spans="1:4" x14ac:dyDescent="0.2">
      <c r="A14" t="s">
        <v>24</v>
      </c>
      <c r="B14">
        <v>12</v>
      </c>
      <c r="C14" s="2" t="s">
        <v>28</v>
      </c>
      <c r="D14" s="14" t="s">
        <v>32</v>
      </c>
    </row>
    <row r="15" spans="1:4" x14ac:dyDescent="0.2">
      <c r="A15" t="s">
        <v>25</v>
      </c>
      <c r="B15">
        <v>13</v>
      </c>
      <c r="C15">
        <v>495</v>
      </c>
      <c r="D15" s="15" t="s">
        <v>30</v>
      </c>
    </row>
    <row r="16" spans="1:4" x14ac:dyDescent="0.2">
      <c r="A16" t="s">
        <v>26</v>
      </c>
      <c r="B16">
        <v>14</v>
      </c>
      <c r="C16">
        <v>525</v>
      </c>
      <c r="D16" s="14" t="s">
        <v>30</v>
      </c>
    </row>
    <row r="17" spans="1:4" x14ac:dyDescent="0.2">
      <c r="A17" t="s">
        <v>27</v>
      </c>
      <c r="B17">
        <v>15</v>
      </c>
      <c r="C17">
        <v>425</v>
      </c>
      <c r="D17" s="15" t="s">
        <v>30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Keerthiga E</dc:creator>
  <dcterms:created xsi:type="dcterms:W3CDTF">2026-06-01T19:05:12Z</dcterms:created>
</cp:coreProperties>
</file>